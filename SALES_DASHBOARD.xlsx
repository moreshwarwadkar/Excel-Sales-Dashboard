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defaultThemeVersion="166925"/>
  <mc:AlternateContent xmlns:mc="http://schemas.openxmlformats.org/markup-compatibility/2006">
    <mc:Choice Requires="x15">
      <x15ac:absPath xmlns:x15ac="http://schemas.microsoft.com/office/spreadsheetml/2010/11/ac" url="C:\Users\DELL\Downloads\#CLAUD\EXCEL-PROJECT\"/>
    </mc:Choice>
  </mc:AlternateContent>
  <xr:revisionPtr revIDLastSave="0" documentId="8_{5292DF2E-C309-4383-AA98-754C7B215C9C}" xr6:coauthVersionLast="47" xr6:coauthVersionMax="47" xr10:uidLastSave="{00000000-0000-0000-0000-000000000000}"/>
  <bookViews>
    <workbookView xWindow="-110" yWindow="-110" windowWidth="19420" windowHeight="10300" activeTab="3" xr2:uid="{C0792ED9-5A97-4DE5-9B92-ADD4C0599B93}"/>
  </bookViews>
  <sheets>
    <sheet name="SALES_DATA" sheetId="1" r:id="rId1"/>
    <sheet name="PIVOT_DATA_1" sheetId="3" r:id="rId2"/>
    <sheet name="PIVOT_DATA_2" sheetId="5" r:id="rId3"/>
    <sheet name="DASHBOARD" sheetId="4" r:id="rId4"/>
  </sheets>
  <definedNames>
    <definedName name="Slicer_Item">#N/A</definedName>
    <definedName name="Slicer_Seller">#N/A</definedName>
  </definedNames>
  <calcPr calcId="181029"/>
  <pivotCaches>
    <pivotCache cacheId="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3" l="1"/>
  <c r="D5" i="3" s="1"/>
  <c r="C6" i="3"/>
  <c r="D6" i="3" s="1"/>
  <c r="C7" i="3"/>
  <c r="D7" i="3" s="1"/>
  <c r="C4" i="3"/>
  <c r="D4" i="3" s="1"/>
</calcChain>
</file>

<file path=xl/sharedStrings.xml><?xml version="1.0" encoding="utf-8"?>
<sst xmlns="http://schemas.openxmlformats.org/spreadsheetml/2006/main" count="539" uniqueCount="28">
  <si>
    <t>Seller</t>
  </si>
  <si>
    <t>Ap Enterprise</t>
  </si>
  <si>
    <t>east</t>
  </si>
  <si>
    <t>Mouse</t>
  </si>
  <si>
    <t>Pc Zone</t>
  </si>
  <si>
    <t>west</t>
  </si>
  <si>
    <t>Keyboard</t>
  </si>
  <si>
    <t>Super Pc</t>
  </si>
  <si>
    <t>north</t>
  </si>
  <si>
    <t>Printer</t>
  </si>
  <si>
    <t>Abc Enterprise</t>
  </si>
  <si>
    <t>south</t>
  </si>
  <si>
    <t>Wireless Mouse</t>
  </si>
  <si>
    <t>New Computers</t>
  </si>
  <si>
    <t>Modern Tech</t>
  </si>
  <si>
    <t>Super Tech</t>
  </si>
  <si>
    <t>Scanner</t>
  </si>
  <si>
    <t>Pendrive</t>
  </si>
  <si>
    <t>Hard Disk</t>
  </si>
  <si>
    <t>Speaker</t>
  </si>
  <si>
    <t>Cpu</t>
  </si>
  <si>
    <t>Monitor</t>
  </si>
  <si>
    <t>Region</t>
  </si>
  <si>
    <t>Item</t>
  </si>
  <si>
    <t>Sales</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</si>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</sst>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rgb="FFFF0000"/>
      <name val="Calibri"/>
      <family val="2"/>
      <scheme val="minor"/>
    </font>
    <font>
      <sz val="11"/>
      <color theme="1"/>
      <name val="Times New Roman"/>
      <family val="1"/>
    </font>
    <font>
      <sz val="14"/>
      <color theme="1"/>
      <name val="Times New Roman"/>
      <family val="1"/>
    </font>
  </fonts>
  <fills count="3">
    <fill>
      <patternFill patternType="none"/>
    </fill>
    <fill>
      <patternFill patternType="gray125"/>
    </fill>
    <fill>
      <patternFill patternType="solid">
        <fgColor rgb="FFF7F7F7"/>
        <bgColor indexed="64"/>
      </patternFill>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horizontal="center"/>
    </xf>
    <xf numFmtId="0" fontId="3" fillId="0" borderId="0" xfId="0" applyFont="1" applyFill="1" applyAlignment="1">
      <alignment horizontal="center"/>
    </xf>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0" fontId="1" fillId="2" borderId="0" xfId="0" applyFont="1" applyFill="1"/>
  </cellXfs>
  <cellStyles count="1">
    <cellStyle name="Normal" xfId="0" builtinId="0"/>
  </cellStyles>
  <dxfs count="7">
    <dxf>
      <fill>
        <patternFill>
          <bgColor theme="4" tint="-0.24994659260841701"/>
        </patternFill>
      </fill>
      <border diagonalUp="1">
        <left style="thick">
          <color theme="0"/>
        </left>
        <right style="thick">
          <color theme="0"/>
        </right>
        <top style="thick">
          <color theme="0"/>
        </top>
        <bottom style="thick">
          <color theme="0"/>
        </bottom>
        <diagonal style="thick">
          <color theme="0"/>
        </diagonal>
      </border>
    </dxf>
    <dxf>
      <font>
        <strike val="0"/>
        <outline val="0"/>
        <shadow val="0"/>
        <u val="none"/>
        <vertAlign val="baseline"/>
        <color theme="1"/>
        <name val="Times New Roman"/>
        <family val="1"/>
        <scheme val="none"/>
      </font>
      <alignment horizontal="center" vertical="bottom" textRotation="0" wrapText="0" indent="0" justifyLastLine="0" shrinkToFit="0" readingOrder="0"/>
    </dxf>
    <dxf>
      <font>
        <strike val="0"/>
        <outline val="0"/>
        <shadow val="0"/>
        <u val="none"/>
        <vertAlign val="baseline"/>
        <color theme="1"/>
        <name val="Times New Roman"/>
        <family val="1"/>
        <scheme val="none"/>
      </font>
      <alignment horizontal="center" vertical="bottom" textRotation="0" wrapText="0" indent="0" justifyLastLine="0" shrinkToFit="0" readingOrder="0"/>
    </dxf>
    <dxf>
      <font>
        <strike val="0"/>
        <outline val="0"/>
        <shadow val="0"/>
        <u val="none"/>
        <vertAlign val="baseline"/>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Times New Roman"/>
        <family val="1"/>
        <scheme val="none"/>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color theme="1"/>
        <name val="Times New Roman"/>
        <family val="1"/>
        <scheme val="none"/>
      </font>
      <alignment horizontal="center" vertical="bottom" textRotation="0" wrapText="0" indent="0" justifyLastLine="0" shrinkToFit="0" readingOrder="0"/>
    </dxf>
    <dxf>
      <font>
        <strike val="0"/>
        <outline val="0"/>
        <shadow val="0"/>
        <u val="none"/>
        <vertAlign val="baseline"/>
        <color theme="1"/>
        <name val="Times New Roman"/>
        <family val="1"/>
        <scheme val="none"/>
      </font>
      <alignment horizontal="center" vertical="bottom" textRotation="0" wrapText="0" indent="0" justifyLastLine="0" shrinkToFit="0" readingOrder="0"/>
    </dxf>
  </dxfs>
  <tableStyles count="1" defaultTableStyle="TableStyleMedium2" defaultPivotStyle="PivotStyleLight16">
    <tableStyle name="Slicer Style 1" pivot="0" table="0" count="1" xr9:uid="{94997F55-E999-4860-A3BB-DDDB493864F9}">
      <tableStyleElement type="wholeTable" dxfId="0"/>
    </tableStyle>
  </tableStyles>
  <colors>
    <mruColors>
      <color rgb="FFF7F7F7"/>
      <color rgb="FFE2DFD6"/>
      <color rgb="FFDA0AB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18669778296383"/>
          <c:y val="5.7667103538663174E-2"/>
          <c:w val="0.78763127187864646"/>
          <c:h val="0.88466579292267367"/>
        </c:manualLayout>
      </c:layout>
      <c:doughnutChart>
        <c:varyColors val="1"/>
        <c:ser>
          <c:idx val="0"/>
          <c:order val="0"/>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CF7-483D-9535-CA4D790EA64F}"/>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4-CCF7-483D-9535-CA4D790EA64F}"/>
              </c:ext>
            </c:extLst>
          </c:dPt>
          <c:dPt>
            <c:idx val="2"/>
            <c:bubble3D val="0"/>
            <c:spPr>
              <a:noFill/>
              <a:ln w="19050">
                <a:solidFill>
                  <a:schemeClr val="lt1"/>
                </a:solidFill>
              </a:ln>
              <a:effectLst/>
            </c:spPr>
            <c:extLst>
              <c:ext xmlns:c16="http://schemas.microsoft.com/office/drawing/2014/chart" uri="{C3380CC4-5D6E-409C-BE32-E72D297353CC}">
                <c16:uniqueId val="{00000002-CCF7-483D-9535-CA4D790EA64F}"/>
              </c:ext>
            </c:extLst>
          </c:dPt>
          <c:val>
            <c:numRef>
              <c:f>PIVOT_DATA_1!$C$4:$E$4</c:f>
              <c:numCache>
                <c:formatCode>0.00%</c:formatCode>
                <c:ptCount val="3"/>
                <c:pt idx="0">
                  <c:v>0.3762120232708468</c:v>
                </c:pt>
                <c:pt idx="1">
                  <c:v>0.6237879767291532</c:v>
                </c:pt>
                <c:pt idx="2" formatCode="0%">
                  <c:v>1</c:v>
                </c:pt>
              </c:numCache>
            </c:numRef>
          </c:val>
          <c:extLst>
            <c:ext xmlns:c16="http://schemas.microsoft.com/office/drawing/2014/chart" uri="{C3380CC4-5D6E-409C-BE32-E72D297353CC}">
              <c16:uniqueId val="{00000000-CCF7-483D-9535-CA4D790EA64F}"/>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18669778296383"/>
          <c:y val="5.7667103538663174E-2"/>
          <c:w val="0.78763127187864646"/>
          <c:h val="0.88466579292267367"/>
        </c:manualLayout>
      </c:layout>
      <c:doughnutChart>
        <c:varyColors val="1"/>
        <c:ser>
          <c:idx val="0"/>
          <c:order val="0"/>
          <c:spPr>
            <a:solidFill>
              <a:schemeClr val="accent6">
                <a:lumMod val="75000"/>
              </a:schemeClr>
            </a:soli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8AA5-4E3E-B061-1B3F97C73A10}"/>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8AA5-4E3E-B061-1B3F97C73A10}"/>
              </c:ext>
            </c:extLst>
          </c:dPt>
          <c:dPt>
            <c:idx val="2"/>
            <c:bubble3D val="0"/>
            <c:spPr>
              <a:noFill/>
              <a:ln w="19050">
                <a:solidFill>
                  <a:schemeClr val="lt1"/>
                </a:solidFill>
              </a:ln>
              <a:effectLst/>
            </c:spPr>
            <c:extLst>
              <c:ext xmlns:c16="http://schemas.microsoft.com/office/drawing/2014/chart" uri="{C3380CC4-5D6E-409C-BE32-E72D297353CC}">
                <c16:uniqueId val="{00000005-8AA5-4E3E-B061-1B3F97C73A10}"/>
              </c:ext>
            </c:extLst>
          </c:dPt>
          <c:val>
            <c:numRef>
              <c:f>PIVOT_DATA_1!$C$4:$E$4</c:f>
              <c:numCache>
                <c:formatCode>0.00%</c:formatCode>
                <c:ptCount val="3"/>
                <c:pt idx="0">
                  <c:v>0.3762120232708468</c:v>
                </c:pt>
                <c:pt idx="1">
                  <c:v>0.6237879767291532</c:v>
                </c:pt>
                <c:pt idx="2" formatCode="0%">
                  <c:v>1</c:v>
                </c:pt>
              </c:numCache>
            </c:numRef>
          </c:val>
          <c:extLst>
            <c:ext xmlns:c16="http://schemas.microsoft.com/office/drawing/2014/chart" uri="{C3380CC4-5D6E-409C-BE32-E72D297353CC}">
              <c16:uniqueId val="{00000006-8AA5-4E3E-B061-1B3F97C73A10}"/>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18669778296383"/>
          <c:y val="5.7667103538663174E-2"/>
          <c:w val="0.78763127187864646"/>
          <c:h val="0.88466579292267367"/>
        </c:manualLayout>
      </c:layout>
      <c:doughnutChart>
        <c:varyColors val="1"/>
        <c:ser>
          <c:idx val="0"/>
          <c:order val="0"/>
          <c:spPr>
            <a:solidFill>
              <a:schemeClr val="accent6">
                <a:lumMod val="75000"/>
              </a:schemeClr>
            </a:solidFill>
          </c:spPr>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D02A-49F3-80F3-F390C7B78449}"/>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D02A-49F3-80F3-F390C7B78449}"/>
              </c:ext>
            </c:extLst>
          </c:dPt>
          <c:dPt>
            <c:idx val="2"/>
            <c:bubble3D val="0"/>
            <c:spPr>
              <a:noFill/>
              <a:ln w="19050">
                <a:solidFill>
                  <a:schemeClr val="lt1"/>
                </a:solidFill>
              </a:ln>
              <a:effectLst/>
            </c:spPr>
            <c:extLst>
              <c:ext xmlns:c16="http://schemas.microsoft.com/office/drawing/2014/chart" uri="{C3380CC4-5D6E-409C-BE32-E72D297353CC}">
                <c16:uniqueId val="{00000005-D02A-49F3-80F3-F390C7B78449}"/>
              </c:ext>
            </c:extLst>
          </c:dPt>
          <c:val>
            <c:numRef>
              <c:f>PIVOT_DATA_1!$C$4:$E$4</c:f>
              <c:numCache>
                <c:formatCode>0.00%</c:formatCode>
                <c:ptCount val="3"/>
                <c:pt idx="0">
                  <c:v>0.3762120232708468</c:v>
                </c:pt>
                <c:pt idx="1">
                  <c:v>0.6237879767291532</c:v>
                </c:pt>
                <c:pt idx="2" formatCode="0%">
                  <c:v>1</c:v>
                </c:pt>
              </c:numCache>
            </c:numRef>
          </c:val>
          <c:extLst>
            <c:ext xmlns:c16="http://schemas.microsoft.com/office/drawing/2014/chart" uri="{C3380CC4-5D6E-409C-BE32-E72D297353CC}">
              <c16:uniqueId val="{00000006-D02A-49F3-80F3-F390C7B78449}"/>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18669778296383"/>
          <c:y val="5.7667103538663174E-2"/>
          <c:w val="0.78763127187864646"/>
          <c:h val="0.88466579292267367"/>
        </c:manualLayout>
      </c:layout>
      <c:doughnutChart>
        <c:varyColors val="1"/>
        <c:ser>
          <c:idx val="0"/>
          <c:order val="0"/>
          <c:spPr>
            <a:solidFill>
              <a:schemeClr val="accent6">
                <a:lumMod val="75000"/>
              </a:schemeClr>
            </a:solidFill>
          </c:spPr>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CCCA-4450-ACEE-A97FAF283056}"/>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CCCA-4450-ACEE-A97FAF283056}"/>
              </c:ext>
            </c:extLst>
          </c:dPt>
          <c:dPt>
            <c:idx val="2"/>
            <c:bubble3D val="0"/>
            <c:spPr>
              <a:noFill/>
              <a:ln w="19050">
                <a:solidFill>
                  <a:schemeClr val="lt1"/>
                </a:solidFill>
              </a:ln>
              <a:effectLst/>
            </c:spPr>
            <c:extLst>
              <c:ext xmlns:c16="http://schemas.microsoft.com/office/drawing/2014/chart" uri="{C3380CC4-5D6E-409C-BE32-E72D297353CC}">
                <c16:uniqueId val="{00000005-CCCA-4450-ACEE-A97FAF283056}"/>
              </c:ext>
            </c:extLst>
          </c:dPt>
          <c:val>
            <c:numRef>
              <c:f>PIVOT_DATA_1!$C$4:$E$4</c:f>
              <c:numCache>
                <c:formatCode>0.00%</c:formatCode>
                <c:ptCount val="3"/>
                <c:pt idx="0">
                  <c:v>0.3762120232708468</c:v>
                </c:pt>
                <c:pt idx="1">
                  <c:v>0.6237879767291532</c:v>
                </c:pt>
                <c:pt idx="2" formatCode="0%">
                  <c:v>1</c:v>
                </c:pt>
              </c:numCache>
            </c:numRef>
          </c:val>
          <c:extLst>
            <c:ext xmlns:c16="http://schemas.microsoft.com/office/drawing/2014/chart" uri="{C3380CC4-5D6E-409C-BE32-E72D297353CC}">
              <c16:uniqueId val="{00000006-CCCA-4450-ACEE-A97FAF283056}"/>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[SALES_DASHBOARD.xlsx]PIVOT_DATA_2!PivotTable2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PIVOT_DATA_2!$B$3</c:f>
              <c:strCache>
                <c:ptCount val="1"/>
                <c:pt idx="0">
                  <c:v>Total</c:v>
                </c:pt>
              </c:strCache>
            </c:strRef>
          </c:tx>
          <c:spPr>
            <a:solidFill>
              <a:schemeClr val="accent1"/>
            </a:solidFill>
            <a:ln>
              <a:noFill/>
            </a:ln>
            <a:effectLst/>
          </c:spPr>
          <c:invertIfNegative val="0"/>
          <c:cat>
            <c:strRef>
              <c:f>PIVOT_DATA_2!$A$4:$A$11</c:f>
              <c:strCache>
                <c:ptCount val="7"/>
                <c:pt idx="0">
                  <c:v>Abc Enterprise</c:v>
                </c:pt>
                <c:pt idx="1">
                  <c:v>Ap Enterprise</c:v>
                </c:pt>
                <c:pt idx="2">
                  <c:v>Modern Tech</c:v>
                </c:pt>
                <c:pt idx="3">
                  <c:v>New Computers</c:v>
                </c:pt>
                <c:pt idx="4">
                  <c:v>Pc Zone</c:v>
                </c:pt>
                <c:pt idx="5">
                  <c:v>Super Pc</c:v>
                </c:pt>
                <c:pt idx="6">
                  <c:v>Super Tech</c:v>
                </c:pt>
              </c:strCache>
            </c:strRef>
          </c:cat>
          <c:val>
            <c:numRef>
              <c:f>PIVOT_DATA_2!$B$4:$B$11</c:f>
              <c:numCache>
                <c:formatCode>0.00%</c:formatCode>
                <c:ptCount val="7"/>
                <c:pt idx="0">
                  <c:v>0.14560439560439561</c:v>
                </c:pt>
                <c:pt idx="1">
                  <c:v>0.14851325145442792</c:v>
                </c:pt>
                <c:pt idx="2">
                  <c:v>8.9851325145442792E-2</c:v>
                </c:pt>
                <c:pt idx="3">
                  <c:v>0.17194570135746606</c:v>
                </c:pt>
                <c:pt idx="4">
                  <c:v>0.16483516483516483</c:v>
                </c:pt>
                <c:pt idx="5">
                  <c:v>0.12912087912087913</c:v>
                </c:pt>
                <c:pt idx="6">
                  <c:v>0.15012928248222365</c:v>
                </c:pt>
              </c:numCache>
            </c:numRef>
          </c:val>
          <c:extLst>
            <c:ext xmlns:c16="http://schemas.microsoft.com/office/drawing/2014/chart" uri="{C3380CC4-5D6E-409C-BE32-E72D297353CC}">
              <c16:uniqueId val="{00000000-03BD-4CD0-B6B6-AA25EC6B6470}"/>
            </c:ext>
          </c:extLst>
        </c:ser>
        <c:dLbls>
          <c:showLegendKey val="0"/>
          <c:showVal val="0"/>
          <c:showCatName val="0"/>
          <c:showSerName val="0"/>
          <c:showPercent val="0"/>
          <c:showBubbleSize val="0"/>
        </c:dLbls>
        <c:gapWidth val="182"/>
        <c:axId val="627095592"/>
        <c:axId val="627102808"/>
      </c:barChart>
      <c:catAx>
        <c:axId val="627095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02808"/>
        <c:crosses val="autoZero"/>
        <c:auto val="1"/>
        <c:lblAlgn val="ctr"/>
        <c:lblOffset val="100"/>
        <c:noMultiLvlLbl val="0"/>
      </c:catAx>
      <c:valAx>
        <c:axId val="627102808"/>
        <c:scaling>
          <c:orientation val="minMax"/>
        </c:scaling>
        <c:delete val="1"/>
        <c:axPos val="b"/>
        <c:numFmt formatCode="0.00%" sourceLinked="1"/>
        <c:majorTickMark val="none"/>
        <c:minorTickMark val="none"/>
        <c:tickLblPos val="nextTo"/>
        <c:crossAx val="627095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43789899710348"/>
          <c:y val="0.11046904241117958"/>
          <c:w val="0.78763127187864646"/>
          <c:h val="0.88466579292267367"/>
        </c:manualLayout>
      </c:layout>
      <c:doughnutChart>
        <c:varyColors val="1"/>
        <c:ser>
          <c:idx val="0"/>
          <c:order val="0"/>
          <c:spPr>
            <a:solidFill>
              <a:schemeClr val="accent6">
                <a:lumMod val="75000"/>
              </a:schemeClr>
            </a:solidFill>
          </c:spPr>
          <c:dPt>
            <c:idx val="0"/>
            <c:bubble3D val="0"/>
            <c:spPr>
              <a:solidFill>
                <a:schemeClr val="accent6">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C9DD-43EE-AFA5-19CDCEDC07E0}"/>
              </c:ext>
            </c:extLst>
          </c:dPt>
          <c:dPt>
            <c:idx val="1"/>
            <c:bubble3D val="0"/>
            <c:spPr>
              <a:solidFill>
                <a:schemeClr val="accent6">
                  <a:lumMod val="60000"/>
                  <a:lumOff val="4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C9DD-43EE-AFA5-19CDCEDC07E0}"/>
              </c:ext>
            </c:extLst>
          </c:dPt>
          <c:dPt>
            <c:idx val="2"/>
            <c:bubble3D val="0"/>
            <c:spPr>
              <a:noFill/>
              <a:ln w="19050">
                <a:solidFill>
                  <a:schemeClr val="lt1"/>
                </a:solidFill>
              </a:ln>
              <a:effectLst/>
            </c:spPr>
            <c:extLst>
              <c:ext xmlns:c16="http://schemas.microsoft.com/office/drawing/2014/chart" uri="{C3380CC4-5D6E-409C-BE32-E72D297353CC}">
                <c16:uniqueId val="{00000005-C9DD-43EE-AFA5-19CDCEDC07E0}"/>
              </c:ext>
            </c:extLst>
          </c:dPt>
          <c:val>
            <c:numRef>
              <c:f>PIVOT_DATA_1!$C$4:$E$4</c:f>
              <c:numCache>
                <c:formatCode>0.00%</c:formatCode>
                <c:ptCount val="3"/>
                <c:pt idx="0">
                  <c:v>0.3762120232708468</c:v>
                </c:pt>
                <c:pt idx="1">
                  <c:v>0.6237879767291532</c:v>
                </c:pt>
                <c:pt idx="2" formatCode="0%">
                  <c:v>1</c:v>
                </c:pt>
              </c:numCache>
            </c:numRef>
          </c:val>
          <c:extLst>
            <c:ext xmlns:c16="http://schemas.microsoft.com/office/drawing/2014/chart" uri="{C3380CC4-5D6E-409C-BE32-E72D297353CC}">
              <c16:uniqueId val="{00000006-C9DD-43EE-AFA5-19CDCEDC07E0}"/>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18669778296383"/>
          <c:y val="5.7667103538663174E-2"/>
          <c:w val="0.78763127187864646"/>
          <c:h val="0.88466579292267367"/>
        </c:manualLayout>
      </c:layout>
      <c:doughnutChart>
        <c:varyColors val="1"/>
        <c:ser>
          <c:idx val="0"/>
          <c:order val="0"/>
          <c:spPr>
            <a:solidFill>
              <a:schemeClr val="accent6">
                <a:lumMod val="75000"/>
              </a:schemeClr>
            </a:solidFill>
          </c:spPr>
          <c:dPt>
            <c:idx val="0"/>
            <c:bubble3D val="0"/>
            <c:spPr>
              <a:solidFill>
                <a:schemeClr val="accent4">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97F0-48CF-9749-A4F89425ED8C}"/>
              </c:ext>
            </c:extLst>
          </c:dPt>
          <c:dPt>
            <c:idx val="1"/>
            <c:bubble3D val="0"/>
            <c:spPr>
              <a:solidFill>
                <a:schemeClr val="accent4">
                  <a:lumMod val="60000"/>
                  <a:lumOff val="4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97F0-48CF-9749-A4F89425ED8C}"/>
              </c:ext>
            </c:extLst>
          </c:dPt>
          <c:dPt>
            <c:idx val="2"/>
            <c:bubble3D val="0"/>
            <c:spPr>
              <a:noFill/>
              <a:ln w="19050">
                <a:solidFill>
                  <a:schemeClr val="lt1"/>
                </a:solidFill>
              </a:ln>
              <a:effectLst/>
            </c:spPr>
            <c:extLst>
              <c:ext xmlns:c16="http://schemas.microsoft.com/office/drawing/2014/chart" uri="{C3380CC4-5D6E-409C-BE32-E72D297353CC}">
                <c16:uniqueId val="{00000005-97F0-48CF-9749-A4F89425ED8C}"/>
              </c:ext>
            </c:extLst>
          </c:dPt>
          <c:val>
            <c:numRef>
              <c:f>PIVOT_DATA_1!$C$4:$E$4</c:f>
              <c:numCache>
                <c:formatCode>0.00%</c:formatCode>
                <c:ptCount val="3"/>
                <c:pt idx="0">
                  <c:v>0.3762120232708468</c:v>
                </c:pt>
                <c:pt idx="1">
                  <c:v>0.6237879767291532</c:v>
                </c:pt>
                <c:pt idx="2" formatCode="0%">
                  <c:v>1</c:v>
                </c:pt>
              </c:numCache>
            </c:numRef>
          </c:val>
          <c:extLst>
            <c:ext xmlns:c16="http://schemas.microsoft.com/office/drawing/2014/chart" uri="{C3380CC4-5D6E-409C-BE32-E72D297353CC}">
              <c16:uniqueId val="{00000006-97F0-48CF-9749-A4F89425ED8C}"/>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18669778296383"/>
          <c:y val="5.7667103538663174E-2"/>
          <c:w val="0.78763127187864646"/>
          <c:h val="0.88466579292267367"/>
        </c:manualLayout>
      </c:layout>
      <c:doughnutChart>
        <c:varyColors val="1"/>
        <c:ser>
          <c:idx val="0"/>
          <c:order val="0"/>
          <c:spPr>
            <a:solidFill>
              <a:schemeClr val="accent6">
                <a:lumMod val="75000"/>
              </a:schemeClr>
            </a:solidFill>
          </c:spPr>
          <c:dPt>
            <c:idx val="0"/>
            <c:bubble3D val="0"/>
            <c:spPr>
              <a:solidFill>
                <a:schemeClr val="accent2">
                  <a:lumMod val="5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9634-42C9-B9B6-9D346821F304}"/>
              </c:ext>
            </c:extLst>
          </c:dPt>
          <c:dPt>
            <c:idx val="1"/>
            <c:bubble3D val="0"/>
            <c:spPr>
              <a:solidFill>
                <a:schemeClr val="accent2">
                  <a:lumMod val="60000"/>
                  <a:lumOff val="4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9634-42C9-B9B6-9D346821F304}"/>
              </c:ext>
            </c:extLst>
          </c:dPt>
          <c:dPt>
            <c:idx val="2"/>
            <c:bubble3D val="0"/>
            <c:spPr>
              <a:noFill/>
              <a:ln w="19050">
                <a:solidFill>
                  <a:schemeClr val="lt1"/>
                </a:solidFill>
              </a:ln>
              <a:effectLst/>
            </c:spPr>
            <c:extLst>
              <c:ext xmlns:c16="http://schemas.microsoft.com/office/drawing/2014/chart" uri="{C3380CC4-5D6E-409C-BE32-E72D297353CC}">
                <c16:uniqueId val="{00000005-9634-42C9-B9B6-9D346821F304}"/>
              </c:ext>
            </c:extLst>
          </c:dPt>
          <c:val>
            <c:numRef>
              <c:f>PIVOT_DATA_1!$C$4:$E$4</c:f>
              <c:numCache>
                <c:formatCode>0.00%</c:formatCode>
                <c:ptCount val="3"/>
                <c:pt idx="0">
                  <c:v>0.3762120232708468</c:v>
                </c:pt>
                <c:pt idx="1">
                  <c:v>0.6237879767291532</c:v>
                </c:pt>
                <c:pt idx="2" formatCode="0%">
                  <c:v>1</c:v>
                </c:pt>
              </c:numCache>
            </c:numRef>
          </c:val>
          <c:extLst>
            <c:ext xmlns:c16="http://schemas.microsoft.com/office/drawing/2014/chart" uri="{C3380CC4-5D6E-409C-BE32-E72D297353CC}">
              <c16:uniqueId val="{00000006-9634-42C9-B9B6-9D346821F304}"/>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18669778296383"/>
          <c:y val="5.7667103538663174E-2"/>
          <c:w val="0.78763127187864646"/>
          <c:h val="0.88466579292267367"/>
        </c:manualLayout>
      </c:layout>
      <c:doughnutChart>
        <c:varyColors val="1"/>
        <c:ser>
          <c:idx val="0"/>
          <c:order val="0"/>
          <c:spPr>
            <a:solidFill>
              <a:schemeClr val="accent6">
                <a:lumMod val="75000"/>
              </a:schemeClr>
            </a:solidFill>
          </c:spPr>
          <c:dPt>
            <c:idx val="0"/>
            <c:bubble3D val="0"/>
            <c:spPr>
              <a:solidFill>
                <a:schemeClr val="bg2">
                  <a:lumMod val="5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31E1-40FD-B791-1A9DFDCED18D}"/>
              </c:ext>
            </c:extLst>
          </c:dPt>
          <c:dPt>
            <c:idx val="1"/>
            <c:bubble3D val="0"/>
            <c:spPr>
              <a:solidFill>
                <a:schemeClr val="bg2">
                  <a:lumMod val="9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31E1-40FD-B791-1A9DFDCED18D}"/>
              </c:ext>
            </c:extLst>
          </c:dPt>
          <c:dPt>
            <c:idx val="2"/>
            <c:bubble3D val="0"/>
            <c:spPr>
              <a:noFill/>
              <a:ln w="19050">
                <a:solidFill>
                  <a:schemeClr val="lt1"/>
                </a:solidFill>
              </a:ln>
              <a:effectLst/>
            </c:spPr>
            <c:extLst>
              <c:ext xmlns:c16="http://schemas.microsoft.com/office/drawing/2014/chart" uri="{C3380CC4-5D6E-409C-BE32-E72D297353CC}">
                <c16:uniqueId val="{00000005-31E1-40FD-B791-1A9DFDCED18D}"/>
              </c:ext>
            </c:extLst>
          </c:dPt>
          <c:val>
            <c:numRef>
              <c:f>PIVOT_DATA_1!$C$4:$E$4</c:f>
              <c:numCache>
                <c:formatCode>0.00%</c:formatCode>
                <c:ptCount val="3"/>
                <c:pt idx="0">
                  <c:v>0.3762120232708468</c:v>
                </c:pt>
                <c:pt idx="1">
                  <c:v>0.6237879767291532</c:v>
                </c:pt>
                <c:pt idx="2" formatCode="0%">
                  <c:v>1</c:v>
                </c:pt>
              </c:numCache>
            </c:numRef>
          </c:val>
          <c:extLst>
            <c:ext xmlns:c16="http://schemas.microsoft.com/office/drawing/2014/chart" uri="{C3380CC4-5D6E-409C-BE32-E72D297353CC}">
              <c16:uniqueId val="{00000006-31E1-40FD-B791-1A9DFDCED18D}"/>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[SALES_DASHBOARD.xlsx]PIVOT_DATA_2!PivotTable2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PIVOT_DATA_2!$B$3</c:f>
              <c:strCache>
                <c:ptCount val="1"/>
                <c:pt idx="0">
                  <c:v>Total</c:v>
                </c:pt>
              </c:strCache>
            </c:strRef>
          </c:tx>
          <c:spPr>
            <a:solidFill>
              <a:srgbClr val="7030A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PIVOT_DATA_2!$A$4:$A$11</c:f>
              <c:strCache>
                <c:ptCount val="7"/>
                <c:pt idx="0">
                  <c:v>Abc Enterprise</c:v>
                </c:pt>
                <c:pt idx="1">
                  <c:v>Ap Enterprise</c:v>
                </c:pt>
                <c:pt idx="2">
                  <c:v>Modern Tech</c:v>
                </c:pt>
                <c:pt idx="3">
                  <c:v>New Computers</c:v>
                </c:pt>
                <c:pt idx="4">
                  <c:v>Pc Zone</c:v>
                </c:pt>
                <c:pt idx="5">
                  <c:v>Super Pc</c:v>
                </c:pt>
                <c:pt idx="6">
                  <c:v>Super Tech</c:v>
                </c:pt>
              </c:strCache>
            </c:strRef>
          </c:cat>
          <c:val>
            <c:numRef>
              <c:f>PIVOT_DATA_2!$B$4:$B$11</c:f>
              <c:numCache>
                <c:formatCode>0.00%</c:formatCode>
                <c:ptCount val="7"/>
                <c:pt idx="0">
                  <c:v>0.14560439560439561</c:v>
                </c:pt>
                <c:pt idx="1">
                  <c:v>0.14851325145442792</c:v>
                </c:pt>
                <c:pt idx="2">
                  <c:v>8.9851325145442792E-2</c:v>
                </c:pt>
                <c:pt idx="3">
                  <c:v>0.17194570135746606</c:v>
                </c:pt>
                <c:pt idx="4">
                  <c:v>0.16483516483516483</c:v>
                </c:pt>
                <c:pt idx="5">
                  <c:v>0.12912087912087913</c:v>
                </c:pt>
                <c:pt idx="6">
                  <c:v>0.15012928248222365</c:v>
                </c:pt>
              </c:numCache>
            </c:numRef>
          </c:val>
          <c:extLst>
            <c:ext xmlns:c16="http://schemas.microsoft.com/office/drawing/2014/chart" uri="{C3380CC4-5D6E-409C-BE32-E72D297353CC}">
              <c16:uniqueId val="{00000000-322E-40D8-843D-BE4E2FE802EE}"/>
            </c:ext>
          </c:extLst>
        </c:ser>
        <c:dLbls>
          <c:showLegendKey val="0"/>
          <c:showVal val="0"/>
          <c:showCatName val="0"/>
          <c:showSerName val="0"/>
          <c:showPercent val="0"/>
          <c:showBubbleSize val="0"/>
        </c:dLbls>
        <c:gapWidth val="182"/>
        <c:axId val="627095592"/>
        <c:axId val="627102808"/>
      </c:barChart>
      <c:catAx>
        <c:axId val="627095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02808"/>
        <c:crosses val="autoZero"/>
        <c:auto val="1"/>
        <c:lblAlgn val="ctr"/>
        <c:lblOffset val="100"/>
        <c:noMultiLvlLbl val="0"/>
      </c:catAx>
      <c:valAx>
        <c:axId val="627102808"/>
        <c:scaling>
          <c:orientation val="minMax"/>
        </c:scaling>
        <c:delete val="1"/>
        <c:axPos val="b"/>
        <c:numFmt formatCode="0.00%" sourceLinked="1"/>
        <c:majorTickMark val="none"/>
        <c:minorTickMark val="none"/>
        <c:tickLblPos val="nextTo"/>
        <c:crossAx val="627095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11</xdr:col>
      <xdr:colOff>165100</xdr:colOff>
      <xdr:row>1</xdr:row>
      <xdr:rowOff>0</xdr:rowOff>
    </xdr:from>
    <xdr:to>
      <xdr:col>14</xdr:col>
      <xdr:colOff>165100</xdr:colOff>
      <xdr:row>14</xdr:row>
      <xdr:rowOff>130175</xdr:rowOff>
    </xdr:to>
    <mc:AlternateContent xmlns:mc="http://schemas.openxmlformats.org/markup-compatibility/2006">
      <mc:Choice xmlns:a14="http://schemas.microsoft.com/office/drawing/2010/main" Requires="a14">
        <xdr:graphicFrame macro="">
          <xdr:nvGraphicFramePr>
            <xdr:cNvPr id="2" name="Seller">
              <a:extLst>
                <a:ext uri="{FF2B5EF4-FFF2-40B4-BE49-F238E27FC236}">
                  <a16:creationId xmlns:a16="http://schemas.microsoft.com/office/drawing/2014/main" id="{5F6C4D4A-325E-4293-A00B-BC11A99AC8B7}"/>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dr:sp macro="" textlink="">
          <xdr:nvSpPr>
            <xdr:cNvPr id="0" name=""/>
            <xdr:cNvSpPr>
              <a:spLocks noTextEdit="1"/>
            </xdr:cNvSpPr>
          </xdr:nvSpPr>
          <xdr:spPr>
            <a:xfrm>
              <a:off x="7302500" y="184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234950</xdr:colOff>
      <xdr:row>1</xdr:row>
      <xdr:rowOff>12700</xdr:rowOff>
    </xdr:from>
    <xdr:to>
      <xdr:col>17</xdr:col>
      <xdr:colOff>234950</xdr:colOff>
      <xdr:row>14</xdr:row>
      <xdr:rowOff>142875</xdr:rowOff>
    </xdr:to>
    <mc:AlternateContent xmlns:mc="http://schemas.openxmlformats.org/markup-compatibility/2006">
      <mc:Choice xmlns:a14="http://schemas.microsoft.com/office/drawing/2010/main" Requires="a14">
        <xdr:graphicFrame macro="">
          <xdr:nvGraphicFramePr>
            <xdr:cNvPr id="3" name="Item">
              <a:extLst>
                <a:ext uri="{FF2B5EF4-FFF2-40B4-BE49-F238E27FC236}">
                  <a16:creationId xmlns:a16="http://schemas.microsoft.com/office/drawing/2014/main" id="{42CC398F-8F05-4F73-BEF6-BFAB3F86893B}"/>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9201150" y="196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22225</xdr:rowOff>
    </xdr:from>
    <xdr:to>
      <xdr:col>3</xdr:col>
      <xdr:colOff>231775</xdr:colOff>
      <xdr:row>20</xdr:row>
      <xdr:rowOff>177800</xdr:rowOff>
    </xdr:to>
    <xdr:graphicFrame macro="">
      <xdr:nvGraphicFramePr>
        <xdr:cNvPr id="6" name="Chart 5">
          <a:extLst>
            <a:ext uri="{FF2B5EF4-FFF2-40B4-BE49-F238E27FC236}">
              <a16:creationId xmlns:a16="http://schemas.microsoft.com/office/drawing/2014/main" id="{ABE014EB-22BD-4C08-8607-EA7BE32AD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542925</xdr:colOff>
      <xdr:row>13</xdr:row>
      <xdr:rowOff>158750</xdr:rowOff>
    </xdr:from>
    <xdr:to>
      <xdr:col>2</xdr:col>
      <xdr:colOff>358775</xdr:colOff>
      <xdr:row>15</xdr:row>
      <xdr:rowOff>69850</xdr:rowOff>
    </xdr:to>
    <xdr:sp macro="" textlink="PIVOT_DATA_1!$C$4">
      <xdr:nvSpPr>
        <xdr:cNvPr id="7" name="Rectangle 6">
          <a:extLst>
            <a:ext uri="{FF2B5EF4-FFF2-40B4-BE49-F238E27FC236}">
              <a16:creationId xmlns:a16="http://schemas.microsoft.com/office/drawing/2014/main" id="{65377807-318B-4AE9-828D-37A599B1834E}"/>
            </a:ext>
          </a:extLst>
        </xdr:cNvPr>
        <xdr:cNvSpPr/>
      </xdr:nvSpPr>
      <xdr:spPr>
        <a:xfrm>
          <a:off x="542925" y="2552700"/>
          <a:ext cx="1466850" cy="279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B8EC5CC-0D79-47DA-A0A2-55364B949AC4}" type="TxLink">
            <a:rPr lang="en-US" sz="1600" b="1" i="0" u="none" strike="noStrike">
              <a:solidFill>
                <a:srgbClr val="000000"/>
              </a:solidFill>
              <a:latin typeface="Calibri"/>
              <a:ea typeface="Calibri"/>
              <a:cs typeface="Calibri"/>
            </a:rPr>
            <a:pPr algn="ctr"/>
            <a:t>37.62%</a:t>
          </a:fld>
          <a:endParaRPr lang="en-IN" sz="1600" b="1"/>
        </a:p>
      </xdr:txBody>
    </xdr:sp>
    <xdr:clientData/>
  </xdr:twoCellAnchor>
  <xdr:twoCellAnchor>
    <xdr:from>
      <xdr:col>0</xdr:col>
      <xdr:colOff>828675</xdr:colOff>
      <xdr:row>12</xdr:row>
      <xdr:rowOff>88900</xdr:rowOff>
    </xdr:from>
    <xdr:to>
      <xdr:col>2</xdr:col>
      <xdr:colOff>79375</xdr:colOff>
      <xdr:row>13</xdr:row>
      <xdr:rowOff>146050</xdr:rowOff>
    </xdr:to>
    <xdr:sp macro="" textlink="">
      <xdr:nvSpPr>
        <xdr:cNvPr id="8" name="Rectangle 7">
          <a:extLst>
            <a:ext uri="{FF2B5EF4-FFF2-40B4-BE49-F238E27FC236}">
              <a16:creationId xmlns:a16="http://schemas.microsoft.com/office/drawing/2014/main" id="{BA5006BA-9EFB-41A8-81F8-9C8EA8C8815D}"/>
            </a:ext>
          </a:extLst>
        </xdr:cNvPr>
        <xdr:cNvSpPr/>
      </xdr:nvSpPr>
      <xdr:spPr>
        <a:xfrm>
          <a:off x="828675" y="2298700"/>
          <a:ext cx="901700" cy="241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DA0AB2"/>
              </a:solidFill>
            </a:rPr>
            <a:t>EAST</a:t>
          </a:r>
        </a:p>
      </xdr:txBody>
    </xdr:sp>
    <xdr:clientData/>
  </xdr:twoCellAnchor>
  <xdr:twoCellAnchor>
    <xdr:from>
      <xdr:col>4</xdr:col>
      <xdr:colOff>0</xdr:colOff>
      <xdr:row>9</xdr:row>
      <xdr:rowOff>0</xdr:rowOff>
    </xdr:from>
    <xdr:to>
      <xdr:col>8</xdr:col>
      <xdr:colOff>53975</xdr:colOff>
      <xdr:row>20</xdr:row>
      <xdr:rowOff>155575</xdr:rowOff>
    </xdr:to>
    <xdr:graphicFrame macro="">
      <xdr:nvGraphicFramePr>
        <xdr:cNvPr id="9" name="Chart 8">
          <a:extLst>
            <a:ext uri="{FF2B5EF4-FFF2-40B4-BE49-F238E27FC236}">
              <a16:creationId xmlns:a16="http://schemas.microsoft.com/office/drawing/2014/main" id="{C8CF9093-E22A-4CA3-9A2A-5E22C53FC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542925</xdr:colOff>
      <xdr:row>13</xdr:row>
      <xdr:rowOff>136525</xdr:rowOff>
    </xdr:from>
    <xdr:to>
      <xdr:col>7</xdr:col>
      <xdr:colOff>180975</xdr:colOff>
      <xdr:row>15</xdr:row>
      <xdr:rowOff>47625</xdr:rowOff>
    </xdr:to>
    <xdr:sp macro="" textlink="PIVOT_DATA_1!$C$5">
      <xdr:nvSpPr>
        <xdr:cNvPr id="10" name="Rectangle 9">
          <a:extLst>
            <a:ext uri="{FF2B5EF4-FFF2-40B4-BE49-F238E27FC236}">
              <a16:creationId xmlns:a16="http://schemas.microsoft.com/office/drawing/2014/main" id="{9FAE2CD1-B058-44BD-9136-378AAF7652C5}"/>
            </a:ext>
          </a:extLst>
        </xdr:cNvPr>
        <xdr:cNvSpPr/>
      </xdr:nvSpPr>
      <xdr:spPr>
        <a:xfrm>
          <a:off x="3413125" y="2530475"/>
          <a:ext cx="1466850" cy="279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3A886D5-F025-4F69-BB1B-F3AB94C603BD}" type="TxLink">
            <a:rPr lang="en-US" sz="1600" b="1" i="0" u="none" strike="noStrike">
              <a:solidFill>
                <a:srgbClr val="000000"/>
              </a:solidFill>
              <a:latin typeface="Calibri"/>
              <a:ea typeface="Calibri"/>
              <a:cs typeface="Calibri"/>
            </a:rPr>
            <a:t>17.92%</a:t>
          </a:fld>
          <a:endParaRPr lang="en-IN" sz="2400" b="1"/>
        </a:p>
      </xdr:txBody>
    </xdr:sp>
    <xdr:clientData/>
  </xdr:twoCellAnchor>
  <xdr:twoCellAnchor>
    <xdr:from>
      <xdr:col>5</xdr:col>
      <xdr:colOff>219075</xdr:colOff>
      <xdr:row>12</xdr:row>
      <xdr:rowOff>66675</xdr:rowOff>
    </xdr:from>
    <xdr:to>
      <xdr:col>6</xdr:col>
      <xdr:colOff>511175</xdr:colOff>
      <xdr:row>13</xdr:row>
      <xdr:rowOff>123825</xdr:rowOff>
    </xdr:to>
    <xdr:sp macro="" textlink="">
      <xdr:nvSpPr>
        <xdr:cNvPr id="11" name="Rectangle 10">
          <a:extLst>
            <a:ext uri="{FF2B5EF4-FFF2-40B4-BE49-F238E27FC236}">
              <a16:creationId xmlns:a16="http://schemas.microsoft.com/office/drawing/2014/main" id="{1DC49FB3-31CE-4F3D-B4B6-A23C362798CD}"/>
            </a:ext>
          </a:extLst>
        </xdr:cNvPr>
        <xdr:cNvSpPr/>
      </xdr:nvSpPr>
      <xdr:spPr>
        <a:xfrm>
          <a:off x="3698875" y="2276475"/>
          <a:ext cx="901700" cy="241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DA0AB2"/>
              </a:solidFill>
            </a:rPr>
            <a:t>NORTH</a:t>
          </a:r>
        </a:p>
      </xdr:txBody>
    </xdr:sp>
    <xdr:clientData/>
  </xdr:twoCellAnchor>
  <xdr:twoCellAnchor>
    <xdr:from>
      <xdr:col>0</xdr:col>
      <xdr:colOff>0</xdr:colOff>
      <xdr:row>22</xdr:row>
      <xdr:rowOff>0</xdr:rowOff>
    </xdr:from>
    <xdr:to>
      <xdr:col>3</xdr:col>
      <xdr:colOff>231775</xdr:colOff>
      <xdr:row>33</xdr:row>
      <xdr:rowOff>155575</xdr:rowOff>
    </xdr:to>
    <xdr:graphicFrame macro="">
      <xdr:nvGraphicFramePr>
        <xdr:cNvPr id="12" name="Chart 11">
          <a:extLst>
            <a:ext uri="{FF2B5EF4-FFF2-40B4-BE49-F238E27FC236}">
              <a16:creationId xmlns:a16="http://schemas.microsoft.com/office/drawing/2014/main" id="{220643C0-4AE6-4617-BD87-FAA721939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542925</xdr:colOff>
      <xdr:row>26</xdr:row>
      <xdr:rowOff>136525</xdr:rowOff>
    </xdr:from>
    <xdr:to>
      <xdr:col>2</xdr:col>
      <xdr:colOff>358775</xdr:colOff>
      <xdr:row>28</xdr:row>
      <xdr:rowOff>47625</xdr:rowOff>
    </xdr:to>
    <xdr:sp macro="" textlink="PIVOT_DATA_1!$C$6">
      <xdr:nvSpPr>
        <xdr:cNvPr id="13" name="Rectangle 12">
          <a:extLst>
            <a:ext uri="{FF2B5EF4-FFF2-40B4-BE49-F238E27FC236}">
              <a16:creationId xmlns:a16="http://schemas.microsoft.com/office/drawing/2014/main" id="{45364E2D-FB26-4A39-AD9A-CD882F2FD275}"/>
            </a:ext>
          </a:extLst>
        </xdr:cNvPr>
        <xdr:cNvSpPr/>
      </xdr:nvSpPr>
      <xdr:spPr>
        <a:xfrm>
          <a:off x="542925" y="4924425"/>
          <a:ext cx="1466850" cy="279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7F7A645-BC13-4D5E-BBBF-4D72BFC62BB2}" type="TxLink">
            <a:rPr lang="en-US" sz="1600" b="1" i="0" u="none" strike="noStrike">
              <a:solidFill>
                <a:srgbClr val="000000"/>
              </a:solidFill>
              <a:latin typeface="Calibri"/>
              <a:ea typeface="Calibri"/>
              <a:cs typeface="Calibri"/>
            </a:rPr>
            <a:t>20.96%</a:t>
          </a:fld>
          <a:endParaRPr lang="en-IN" sz="2400" b="1"/>
        </a:p>
      </xdr:txBody>
    </xdr:sp>
    <xdr:clientData/>
  </xdr:twoCellAnchor>
  <xdr:twoCellAnchor>
    <xdr:from>
      <xdr:col>0</xdr:col>
      <xdr:colOff>828675</xdr:colOff>
      <xdr:row>25</xdr:row>
      <xdr:rowOff>66675</xdr:rowOff>
    </xdr:from>
    <xdr:to>
      <xdr:col>2</xdr:col>
      <xdr:colOff>79375</xdr:colOff>
      <xdr:row>26</xdr:row>
      <xdr:rowOff>123825</xdr:rowOff>
    </xdr:to>
    <xdr:sp macro="" textlink="">
      <xdr:nvSpPr>
        <xdr:cNvPr id="14" name="Rectangle 13">
          <a:extLst>
            <a:ext uri="{FF2B5EF4-FFF2-40B4-BE49-F238E27FC236}">
              <a16:creationId xmlns:a16="http://schemas.microsoft.com/office/drawing/2014/main" id="{F9DB4DB4-EF0F-4709-B4D9-E685223CF095}"/>
            </a:ext>
          </a:extLst>
        </xdr:cNvPr>
        <xdr:cNvSpPr/>
      </xdr:nvSpPr>
      <xdr:spPr>
        <a:xfrm>
          <a:off x="828675" y="4670425"/>
          <a:ext cx="901700" cy="241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DA0AB2"/>
              </a:solidFill>
            </a:rPr>
            <a:t>SOUTH</a:t>
          </a:r>
        </a:p>
      </xdr:txBody>
    </xdr:sp>
    <xdr:clientData/>
  </xdr:twoCellAnchor>
  <xdr:twoCellAnchor>
    <xdr:from>
      <xdr:col>5</xdr:col>
      <xdr:colOff>0</xdr:colOff>
      <xdr:row>22</xdr:row>
      <xdr:rowOff>0</xdr:rowOff>
    </xdr:from>
    <xdr:to>
      <xdr:col>9</xdr:col>
      <xdr:colOff>53975</xdr:colOff>
      <xdr:row>33</xdr:row>
      <xdr:rowOff>155575</xdr:rowOff>
    </xdr:to>
    <xdr:graphicFrame macro="">
      <xdr:nvGraphicFramePr>
        <xdr:cNvPr id="15" name="Chart 14">
          <a:extLst>
            <a:ext uri="{FF2B5EF4-FFF2-40B4-BE49-F238E27FC236}">
              <a16:creationId xmlns:a16="http://schemas.microsoft.com/office/drawing/2014/main" id="{B9FA075F-AE39-4383-8557-8CF37E1D7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542925</xdr:colOff>
      <xdr:row>26</xdr:row>
      <xdr:rowOff>136525</xdr:rowOff>
    </xdr:from>
    <xdr:to>
      <xdr:col>8</xdr:col>
      <xdr:colOff>180975</xdr:colOff>
      <xdr:row>28</xdr:row>
      <xdr:rowOff>47625</xdr:rowOff>
    </xdr:to>
    <xdr:sp macro="" textlink="PIVOT_DATA_1!$C$7">
      <xdr:nvSpPr>
        <xdr:cNvPr id="16" name="Rectangle 15">
          <a:extLst>
            <a:ext uri="{FF2B5EF4-FFF2-40B4-BE49-F238E27FC236}">
              <a16:creationId xmlns:a16="http://schemas.microsoft.com/office/drawing/2014/main" id="{5BF9AE1E-407D-4A2D-A67F-0F4EAB8D6444}"/>
            </a:ext>
          </a:extLst>
        </xdr:cNvPr>
        <xdr:cNvSpPr/>
      </xdr:nvSpPr>
      <xdr:spPr>
        <a:xfrm>
          <a:off x="4022725" y="4924425"/>
          <a:ext cx="1466850" cy="279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DE60C1A-6D4E-46D3-BFF5-66FBC64B7847}" type="TxLink">
            <a:rPr lang="en-US" sz="1600" b="1" i="0" u="none" strike="noStrike">
              <a:solidFill>
                <a:srgbClr val="000000"/>
              </a:solidFill>
              <a:latin typeface="Calibri"/>
              <a:ea typeface="Calibri"/>
              <a:cs typeface="Calibri"/>
            </a:rPr>
            <a:t>23.50%</a:t>
          </a:fld>
          <a:endParaRPr lang="en-IN" sz="2400" b="1"/>
        </a:p>
      </xdr:txBody>
    </xdr:sp>
    <xdr:clientData/>
  </xdr:twoCellAnchor>
  <xdr:twoCellAnchor>
    <xdr:from>
      <xdr:col>6</xdr:col>
      <xdr:colOff>219075</xdr:colOff>
      <xdr:row>25</xdr:row>
      <xdr:rowOff>66675</xdr:rowOff>
    </xdr:from>
    <xdr:to>
      <xdr:col>7</xdr:col>
      <xdr:colOff>511175</xdr:colOff>
      <xdr:row>26</xdr:row>
      <xdr:rowOff>123825</xdr:rowOff>
    </xdr:to>
    <xdr:sp macro="" textlink="">
      <xdr:nvSpPr>
        <xdr:cNvPr id="17" name="Rectangle 16">
          <a:extLst>
            <a:ext uri="{FF2B5EF4-FFF2-40B4-BE49-F238E27FC236}">
              <a16:creationId xmlns:a16="http://schemas.microsoft.com/office/drawing/2014/main" id="{96C7C725-C4D0-4D18-A4C9-A0C947BC9840}"/>
            </a:ext>
          </a:extLst>
        </xdr:cNvPr>
        <xdr:cNvSpPr/>
      </xdr:nvSpPr>
      <xdr:spPr>
        <a:xfrm>
          <a:off x="4308475" y="4670425"/>
          <a:ext cx="901700" cy="241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DA0AB2"/>
              </a:solidFill>
            </a:rPr>
            <a:t>WEST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xdr:colOff>
      <xdr:row>1</xdr:row>
      <xdr:rowOff>177800</xdr:rowOff>
    </xdr:from>
    <xdr:to>
      <xdr:col>9</xdr:col>
      <xdr:colOff>495300</xdr:colOff>
      <xdr:row>16</xdr:row>
      <xdr:rowOff>158750</xdr:rowOff>
    </xdr:to>
    <xdr:graphicFrame macro="">
      <xdr:nvGraphicFramePr>
        <xdr:cNvPr id="2" name="Chart 1">
          <a:extLst>
            <a:ext uri="{FF2B5EF4-FFF2-40B4-BE49-F238E27FC236}">
              <a16:creationId xmlns:a16="http://schemas.microsoft.com/office/drawing/2014/main" id="{5F7EC175-723A-448A-9C85-9B36C8BC8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266700</xdr:colOff>
      <xdr:row>1</xdr:row>
      <xdr:rowOff>88901</xdr:rowOff>
    </xdr:from>
    <xdr:to>
      <xdr:col>20</xdr:col>
      <xdr:colOff>439616</xdr:colOff>
      <xdr:row>4</xdr:row>
      <xdr:rowOff>139701</xdr:rowOff>
    </xdr:to>
    <mc:AlternateContent xmlns:mc="http://schemas.openxmlformats.org/markup-compatibility/2006">
      <mc:Choice xmlns:a14="http://schemas.microsoft.com/office/drawing/2010/main" Requires="a14">
        <xdr:graphicFrame macro="">
          <xdr:nvGraphicFramePr>
            <xdr:cNvPr id="2" name="Seller 1">
              <a:extLst>
                <a:ext uri="{FF2B5EF4-FFF2-40B4-BE49-F238E27FC236}">
                  <a16:creationId xmlns:a16="http://schemas.microsoft.com/office/drawing/2014/main" id="{09EB2C85-9F8E-427D-B7B6-D471A67EE3EB}"/>
                </a:ext>
              </a:extLst>
            </xdr:cNvPr>
            <xdr:cNvGraphicFramePr/>
          </xdr:nvGraphicFramePr>
          <xdr:xfrm>
            <a:off x="0" y="0"/>
            <a:ext cx="0" cy="0"/>
          </xdr:xfrm>
          <a:graphic>
            <a:graphicData uri="http://schemas.microsoft.com/office/drawing/2010/slicer">
              <sle:slicer xmlns:sle="http://schemas.microsoft.com/office/drawing/2010/slicer" name="Seller 1"/>
            </a:graphicData>
          </a:graphic>
        </xdr:graphicFrame>
      </mc:Choice>
      <mc:Fallback>
        <xdr:sp macro="" textlink="">
          <xdr:nvSpPr>
            <xdr:cNvPr id="0" name=""/>
            <xdr:cNvSpPr>
              <a:spLocks noTextEdit="1"/>
            </xdr:cNvSpPr>
          </xdr:nvSpPr>
          <xdr:spPr>
            <a:xfrm>
              <a:off x="266700" y="270330"/>
              <a:ext cx="12314674" cy="595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252744</xdr:colOff>
      <xdr:row>5</xdr:row>
      <xdr:rowOff>94552</xdr:rowOff>
    </xdr:from>
    <xdr:to>
      <xdr:col>3</xdr:col>
      <xdr:colOff>252744</xdr:colOff>
      <xdr:row>25</xdr:row>
      <xdr:rowOff>119952</xdr:rowOff>
    </xdr:to>
    <mc:AlternateContent xmlns:mc="http://schemas.openxmlformats.org/markup-compatibility/2006">
      <mc:Choice xmlns:a14="http://schemas.microsoft.com/office/drawing/2010/main" Requires="a14">
        <xdr:graphicFrame macro="">
          <xdr:nvGraphicFramePr>
            <xdr:cNvPr id="3" name="Item 1">
              <a:extLst>
                <a:ext uri="{FF2B5EF4-FFF2-40B4-BE49-F238E27FC236}">
                  <a16:creationId xmlns:a16="http://schemas.microsoft.com/office/drawing/2014/main" id="{7EB70800-313A-4A0C-B7CA-EE8B5B20F1E2}"/>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252744" y="1001695"/>
              <a:ext cx="1821264" cy="3653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12701</xdr:colOff>
      <xdr:row>5</xdr:row>
      <xdr:rowOff>155575</xdr:rowOff>
    </xdr:from>
    <xdr:to>
      <xdr:col>7</xdr:col>
      <xdr:colOff>120650</xdr:colOff>
      <xdr:row>15</xdr:row>
      <xdr:rowOff>63500</xdr:rowOff>
    </xdr:to>
    <xdr:graphicFrame macro="">
      <xdr:nvGraphicFramePr>
        <xdr:cNvPr id="4" name="Chart 3">
          <a:extLst>
            <a:ext uri="{FF2B5EF4-FFF2-40B4-BE49-F238E27FC236}">
              <a16:creationId xmlns:a16="http://schemas.microsoft.com/office/drawing/2014/main" id="{135F1E75-2601-42DD-8A53-6117930B7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353681</xdr:colOff>
      <xdr:row>12</xdr:row>
      <xdr:rowOff>73618</xdr:rowOff>
    </xdr:from>
    <xdr:to>
      <xdr:col>6</xdr:col>
      <xdr:colOff>405128</xdr:colOff>
      <xdr:row>13</xdr:row>
      <xdr:rowOff>128198</xdr:rowOff>
    </xdr:to>
    <xdr:sp macro="" textlink="PIVOT_DATA_1!$C$4">
      <xdr:nvSpPr>
        <xdr:cNvPr id="5" name="Rectangle 4">
          <a:extLst>
            <a:ext uri="{FF2B5EF4-FFF2-40B4-BE49-F238E27FC236}">
              <a16:creationId xmlns:a16="http://schemas.microsoft.com/office/drawing/2014/main" id="{2B3E7A7B-5194-4DF4-A021-285206CB1992}"/>
            </a:ext>
          </a:extLst>
        </xdr:cNvPr>
        <xdr:cNvSpPr/>
      </xdr:nvSpPr>
      <xdr:spPr>
        <a:xfrm>
          <a:off x="2782033" y="2250761"/>
          <a:ext cx="1265622" cy="2360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B8EC5CC-0D79-47DA-A0A2-55364B949AC4}" type="TxLink">
            <a:rPr lang="en-US" sz="1600" b="1" i="0" u="none" strike="noStrike">
              <a:solidFill>
                <a:srgbClr val="000000"/>
              </a:solidFill>
              <a:latin typeface="Calibri"/>
              <a:ea typeface="Calibri"/>
              <a:cs typeface="Calibri"/>
            </a:rPr>
            <a:pPr algn="ctr"/>
            <a:t>37.62%</a:t>
          </a:fld>
          <a:endParaRPr lang="en-IN" sz="1600" b="1"/>
        </a:p>
      </xdr:txBody>
    </xdr:sp>
    <xdr:clientData/>
  </xdr:twoCellAnchor>
  <xdr:twoCellAnchor>
    <xdr:from>
      <xdr:col>5</xdr:col>
      <xdr:colOff>15875</xdr:colOff>
      <xdr:row>10</xdr:row>
      <xdr:rowOff>180940</xdr:rowOff>
    </xdr:from>
    <xdr:to>
      <xdr:col>6</xdr:col>
      <xdr:colOff>187365</xdr:colOff>
      <xdr:row>12</xdr:row>
      <xdr:rowOff>21537</xdr:rowOff>
    </xdr:to>
    <xdr:sp macro="" textlink="">
      <xdr:nvSpPr>
        <xdr:cNvPr id="6" name="Rectangle 5">
          <a:extLst>
            <a:ext uri="{FF2B5EF4-FFF2-40B4-BE49-F238E27FC236}">
              <a16:creationId xmlns:a16="http://schemas.microsoft.com/office/drawing/2014/main" id="{32E9B758-3A69-4506-B3E7-AEA31F8A7585}"/>
            </a:ext>
          </a:extLst>
        </xdr:cNvPr>
        <xdr:cNvSpPr/>
      </xdr:nvSpPr>
      <xdr:spPr>
        <a:xfrm>
          <a:off x="3051315" y="1995226"/>
          <a:ext cx="778577" cy="2034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DA0AB2"/>
              </a:solidFill>
            </a:rPr>
            <a:t>EAST</a:t>
          </a:r>
        </a:p>
      </xdr:txBody>
    </xdr:sp>
    <xdr:clientData/>
  </xdr:twoCellAnchor>
  <xdr:twoCellAnchor>
    <xdr:from>
      <xdr:col>7</xdr:col>
      <xdr:colOff>412402</xdr:colOff>
      <xdr:row>5</xdr:row>
      <xdr:rowOff>133350</xdr:rowOff>
    </xdr:from>
    <xdr:to>
      <xdr:col>10</xdr:col>
      <xdr:colOff>520351</xdr:colOff>
      <xdr:row>15</xdr:row>
      <xdr:rowOff>41275</xdr:rowOff>
    </xdr:to>
    <xdr:graphicFrame macro="">
      <xdr:nvGraphicFramePr>
        <xdr:cNvPr id="7" name="Chart 6">
          <a:extLst>
            <a:ext uri="{FF2B5EF4-FFF2-40B4-BE49-F238E27FC236}">
              <a16:creationId xmlns:a16="http://schemas.microsoft.com/office/drawing/2014/main" id="{8243E02A-BE99-42D8-8B5C-1C34A4A8C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175881</xdr:colOff>
      <xdr:row>12</xdr:row>
      <xdr:rowOff>2547</xdr:rowOff>
    </xdr:from>
    <xdr:to>
      <xdr:col>10</xdr:col>
      <xdr:colOff>227328</xdr:colOff>
      <xdr:row>13</xdr:row>
      <xdr:rowOff>57127</xdr:rowOff>
    </xdr:to>
    <xdr:sp macro="" textlink="PIVOT_DATA_1!$C$5">
      <xdr:nvSpPr>
        <xdr:cNvPr id="8" name="Rectangle 7">
          <a:extLst>
            <a:ext uri="{FF2B5EF4-FFF2-40B4-BE49-F238E27FC236}">
              <a16:creationId xmlns:a16="http://schemas.microsoft.com/office/drawing/2014/main" id="{7BE5308D-20E8-4300-9165-3AEB6B4037B3}"/>
            </a:ext>
          </a:extLst>
        </xdr:cNvPr>
        <xdr:cNvSpPr/>
      </xdr:nvSpPr>
      <xdr:spPr>
        <a:xfrm>
          <a:off x="5032584" y="2179690"/>
          <a:ext cx="1265623" cy="2360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3A886D5-F025-4F69-BB1B-F3AB94C603BD}" type="TxLink">
            <a:rPr lang="en-US" sz="1600" b="1" i="0" u="none" strike="noStrike">
              <a:solidFill>
                <a:srgbClr val="000000"/>
              </a:solidFill>
              <a:latin typeface="Calibri"/>
              <a:ea typeface="Calibri"/>
              <a:cs typeface="Calibri"/>
            </a:rPr>
            <a:t>17.92%</a:t>
          </a:fld>
          <a:endParaRPr lang="en-IN" sz="2400" b="1"/>
        </a:p>
      </xdr:txBody>
    </xdr:sp>
    <xdr:clientData/>
  </xdr:twoCellAnchor>
  <xdr:twoCellAnchor>
    <xdr:from>
      <xdr:col>8</xdr:col>
      <xdr:colOff>461631</xdr:colOff>
      <xdr:row>10</xdr:row>
      <xdr:rowOff>116847</xdr:rowOff>
    </xdr:from>
    <xdr:to>
      <xdr:col>10</xdr:col>
      <xdr:colOff>23521</xdr:colOff>
      <xdr:row>11</xdr:row>
      <xdr:rowOff>138873</xdr:rowOff>
    </xdr:to>
    <xdr:sp macro="" textlink="">
      <xdr:nvSpPr>
        <xdr:cNvPr id="9" name="Rectangle 8">
          <a:extLst>
            <a:ext uri="{FF2B5EF4-FFF2-40B4-BE49-F238E27FC236}">
              <a16:creationId xmlns:a16="http://schemas.microsoft.com/office/drawing/2014/main" id="{A6401D0F-06E5-4F83-AA4E-4E4E8A6EE9D2}"/>
            </a:ext>
          </a:extLst>
        </xdr:cNvPr>
        <xdr:cNvSpPr/>
      </xdr:nvSpPr>
      <xdr:spPr>
        <a:xfrm>
          <a:off x="5318334" y="1931133"/>
          <a:ext cx="776066" cy="2034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DA0AB2"/>
              </a:solidFill>
            </a:rPr>
            <a:t>NORTH</a:t>
          </a:r>
        </a:p>
      </xdr:txBody>
    </xdr:sp>
    <xdr:clientData/>
  </xdr:twoCellAnchor>
  <xdr:twoCellAnchor>
    <xdr:from>
      <xdr:col>4</xdr:col>
      <xdr:colOff>8305</xdr:colOff>
      <xdr:row>16</xdr:row>
      <xdr:rowOff>5234</xdr:rowOff>
    </xdr:from>
    <xdr:to>
      <xdr:col>7</xdr:col>
      <xdr:colOff>116254</xdr:colOff>
      <xdr:row>25</xdr:row>
      <xdr:rowOff>94587</xdr:rowOff>
    </xdr:to>
    <xdr:graphicFrame macro="">
      <xdr:nvGraphicFramePr>
        <xdr:cNvPr id="10" name="Chart 9">
          <a:extLst>
            <a:ext uri="{FF2B5EF4-FFF2-40B4-BE49-F238E27FC236}">
              <a16:creationId xmlns:a16="http://schemas.microsoft.com/office/drawing/2014/main" id="{6CD5C1A2-FEF6-4A2D-87B0-768EE7E6E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339725</xdr:colOff>
      <xdr:row>23</xdr:row>
      <xdr:rowOff>9525</xdr:rowOff>
    </xdr:from>
    <xdr:to>
      <xdr:col>6</xdr:col>
      <xdr:colOff>391172</xdr:colOff>
      <xdr:row>24</xdr:row>
      <xdr:rowOff>64105</xdr:rowOff>
    </xdr:to>
    <xdr:sp macro="" textlink="PIVOT_DATA_1!$C$6">
      <xdr:nvSpPr>
        <xdr:cNvPr id="11" name="Rectangle 10">
          <a:extLst>
            <a:ext uri="{FF2B5EF4-FFF2-40B4-BE49-F238E27FC236}">
              <a16:creationId xmlns:a16="http://schemas.microsoft.com/office/drawing/2014/main" id="{141F696F-CE82-488A-8583-330A54E41DAF}"/>
            </a:ext>
          </a:extLst>
        </xdr:cNvPr>
        <xdr:cNvSpPr/>
      </xdr:nvSpPr>
      <xdr:spPr>
        <a:xfrm>
          <a:off x="2778125" y="4244975"/>
          <a:ext cx="1270647" cy="2387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7F7A645-BC13-4D5E-BBBF-4D72BFC62BB2}" type="TxLink">
            <a:rPr lang="en-US" sz="1600" b="1" i="0" u="none" strike="noStrike">
              <a:solidFill>
                <a:srgbClr val="000000"/>
              </a:solidFill>
              <a:latin typeface="Calibri"/>
              <a:ea typeface="Calibri"/>
              <a:cs typeface="Calibri"/>
            </a:rPr>
            <a:t>20.96%</a:t>
          </a:fld>
          <a:endParaRPr lang="en-IN" sz="2400" b="1"/>
        </a:p>
      </xdr:txBody>
    </xdr:sp>
    <xdr:clientData/>
  </xdr:twoCellAnchor>
  <xdr:twoCellAnchor>
    <xdr:from>
      <xdr:col>5</xdr:col>
      <xdr:colOff>15875</xdr:colOff>
      <xdr:row>21</xdr:row>
      <xdr:rowOff>123825</xdr:rowOff>
    </xdr:from>
    <xdr:to>
      <xdr:col>6</xdr:col>
      <xdr:colOff>187365</xdr:colOff>
      <xdr:row>22</xdr:row>
      <xdr:rowOff>145851</xdr:rowOff>
    </xdr:to>
    <xdr:sp macro="" textlink="">
      <xdr:nvSpPr>
        <xdr:cNvPr id="12" name="Rectangle 11">
          <a:extLst>
            <a:ext uri="{FF2B5EF4-FFF2-40B4-BE49-F238E27FC236}">
              <a16:creationId xmlns:a16="http://schemas.microsoft.com/office/drawing/2014/main" id="{C6E01006-61D9-482E-BBEA-B7E360E237C5}"/>
            </a:ext>
          </a:extLst>
        </xdr:cNvPr>
        <xdr:cNvSpPr/>
      </xdr:nvSpPr>
      <xdr:spPr>
        <a:xfrm>
          <a:off x="3063875" y="3990975"/>
          <a:ext cx="781090" cy="20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DA0AB2"/>
              </a:solidFill>
            </a:rPr>
            <a:t>SOUTH</a:t>
          </a:r>
        </a:p>
      </xdr:txBody>
    </xdr:sp>
    <xdr:clientData/>
  </xdr:twoCellAnchor>
  <xdr:twoCellAnchor>
    <xdr:from>
      <xdr:col>7</xdr:col>
      <xdr:colOff>410029</xdr:colOff>
      <xdr:row>15</xdr:row>
      <xdr:rowOff>175775</xdr:rowOff>
    </xdr:from>
    <xdr:to>
      <xdr:col>10</xdr:col>
      <xdr:colOff>517978</xdr:colOff>
      <xdr:row>25</xdr:row>
      <xdr:rowOff>86422</xdr:rowOff>
    </xdr:to>
    <xdr:graphicFrame macro="">
      <xdr:nvGraphicFramePr>
        <xdr:cNvPr id="13" name="Chart 12">
          <a:extLst>
            <a:ext uri="{FF2B5EF4-FFF2-40B4-BE49-F238E27FC236}">
              <a16:creationId xmlns:a16="http://schemas.microsoft.com/office/drawing/2014/main" id="{2F53CE48-7412-4671-8DB4-F14BB12F9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210772</xdr:colOff>
      <xdr:row>23</xdr:row>
      <xdr:rowOff>16503</xdr:rowOff>
    </xdr:from>
    <xdr:to>
      <xdr:col>10</xdr:col>
      <xdr:colOff>262219</xdr:colOff>
      <xdr:row>24</xdr:row>
      <xdr:rowOff>71083</xdr:rowOff>
    </xdr:to>
    <xdr:sp macro="" textlink="PIVOT_DATA_1!$C$7">
      <xdr:nvSpPr>
        <xdr:cNvPr id="14" name="Rectangle 13">
          <a:extLst>
            <a:ext uri="{FF2B5EF4-FFF2-40B4-BE49-F238E27FC236}">
              <a16:creationId xmlns:a16="http://schemas.microsoft.com/office/drawing/2014/main" id="{4147CBF9-F392-4965-B2BC-188647BE9A30}"/>
            </a:ext>
          </a:extLst>
        </xdr:cNvPr>
        <xdr:cNvSpPr/>
      </xdr:nvSpPr>
      <xdr:spPr>
        <a:xfrm>
          <a:off x="5067475" y="4189360"/>
          <a:ext cx="1265623" cy="2360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DE60C1A-6D4E-46D3-BFF5-66FBC64B7847}" type="TxLink">
            <a:rPr lang="en-US" sz="1600" b="1" i="0" u="none" strike="noStrike">
              <a:solidFill>
                <a:srgbClr val="000000"/>
              </a:solidFill>
              <a:latin typeface="Calibri"/>
              <a:ea typeface="Calibri"/>
              <a:cs typeface="Calibri"/>
            </a:rPr>
            <a:t>23.50%</a:t>
          </a:fld>
          <a:endParaRPr lang="en-IN" sz="2400" b="1"/>
        </a:p>
      </xdr:txBody>
    </xdr:sp>
    <xdr:clientData/>
  </xdr:twoCellAnchor>
  <xdr:twoCellAnchor>
    <xdr:from>
      <xdr:col>8</xdr:col>
      <xdr:colOff>496522</xdr:colOff>
      <xdr:row>21</xdr:row>
      <xdr:rowOff>130803</xdr:rowOff>
    </xdr:from>
    <xdr:to>
      <xdr:col>10</xdr:col>
      <xdr:colOff>58412</xdr:colOff>
      <xdr:row>22</xdr:row>
      <xdr:rowOff>152829</xdr:rowOff>
    </xdr:to>
    <xdr:sp macro="" textlink="">
      <xdr:nvSpPr>
        <xdr:cNvPr id="15" name="Rectangle 14">
          <a:extLst>
            <a:ext uri="{FF2B5EF4-FFF2-40B4-BE49-F238E27FC236}">
              <a16:creationId xmlns:a16="http://schemas.microsoft.com/office/drawing/2014/main" id="{2ACC80AA-4B31-43B3-8456-5EFD42CAE41D}"/>
            </a:ext>
          </a:extLst>
        </xdr:cNvPr>
        <xdr:cNvSpPr/>
      </xdr:nvSpPr>
      <xdr:spPr>
        <a:xfrm>
          <a:off x="5353225" y="3940803"/>
          <a:ext cx="776066" cy="2034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DA0AB2"/>
              </a:solidFill>
            </a:rPr>
            <a:t>WEST</a:t>
          </a:r>
        </a:p>
      </xdr:txBody>
    </xdr:sp>
    <xdr:clientData/>
  </xdr:twoCellAnchor>
  <xdr:twoCellAnchor>
    <xdr:from>
      <xdr:col>11</xdr:col>
      <xdr:colOff>279122</xdr:colOff>
      <xdr:row>5</xdr:row>
      <xdr:rowOff>139560</xdr:rowOff>
    </xdr:from>
    <xdr:to>
      <xdr:col>20</xdr:col>
      <xdr:colOff>452329</xdr:colOff>
      <xdr:row>25</xdr:row>
      <xdr:rowOff>78287</xdr:rowOff>
    </xdr:to>
    <xdr:graphicFrame macro="">
      <xdr:nvGraphicFramePr>
        <xdr:cNvPr id="16" name="Chart 15">
          <a:extLst>
            <a:ext uri="{FF2B5EF4-FFF2-40B4-BE49-F238E27FC236}">
              <a16:creationId xmlns:a16="http://schemas.microsoft.com/office/drawing/2014/main" id="{DD94FBFD-B106-4E9E-A3F0-4B58E0E69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18.651668171296" createdVersion="7" refreshedVersion="7" minRefreshableVersion="3" recordCount="173" xr:uid="{FC2BC61E-249D-4CC2-A597-E6E7DB85962A}">
  <cacheSource type="worksheet">
    <worksheetSource name="Table1"/>
  </cacheSource>
  <cacheFields count="4">
    <cacheField name="Seller" numFmtId="0">
      <sharedItems count="7">
        <s v="Ap Enterprise"/>
        <s v="Pc Zone"/>
        <s v="Super Pc"/>
        <s v="Abc Enterprise"/>
        <s v="New Computers"/>
        <s v="Modern Tech"/>
        <s v="Super Tech"/>
      </sharedItems>
    </cacheField>
    <cacheField name="Region" numFmtId="0">
      <sharedItems count="4">
        <s v="east"/>
        <s v="west"/>
        <s v="north"/>
        <s v="south"/>
      </sharedItems>
    </cacheField>
    <cacheField name="Item" numFmtId="0">
      <sharedItems count="10">
        <s v="Mouse"/>
        <s v="Keyboard"/>
        <s v="Printer"/>
        <s v="Wireless Mouse"/>
        <s v="Scanner"/>
        <s v="Pendrive"/>
        <s v="Hard Disk"/>
        <s v="Speaker"/>
        <s v="Cpu"/>
        <s v="Monitor"/>
      </sharedItems>
    </cacheField>
    <cacheField name="Sales" numFmtId="0">
      <sharedItems containsSemiMixedTypes="0" containsString="0" containsNumber="1" containsInteger="1" minValue="100" maxValue="1000"/>
    </cacheField>
  </cacheFields>
  <extLst>
    <ext xmlns:x14="http://schemas.microsoft.com/office/spreadsheetml/2009/9/main" uri="{725AE2AE-9491-48be-B2B4-4EB974FC3084}">
      <x14:pivotCacheDefinition pivotCacheId="19064415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3">
  <r>
    <x v="0"/>
    <x v="0"/>
    <x v="0"/>
    <n v="100"/>
  </r>
  <r>
    <x v="1"/>
    <x v="1"/>
    <x v="1"/>
    <n v="200"/>
  </r>
  <r>
    <x v="2"/>
    <x v="2"/>
    <x v="2"/>
    <n v="150"/>
  </r>
  <r>
    <x v="3"/>
    <x v="3"/>
    <x v="3"/>
    <n v="160"/>
  </r>
  <r>
    <x v="4"/>
    <x v="0"/>
    <x v="1"/>
    <n v="130"/>
  </r>
  <r>
    <x v="5"/>
    <x v="1"/>
    <x v="2"/>
    <n v="160"/>
  </r>
  <r>
    <x v="6"/>
    <x v="2"/>
    <x v="0"/>
    <n v="176"/>
  </r>
  <r>
    <x v="0"/>
    <x v="3"/>
    <x v="1"/>
    <n v="156"/>
  </r>
  <r>
    <x v="1"/>
    <x v="0"/>
    <x v="2"/>
    <n v="190"/>
  </r>
  <r>
    <x v="2"/>
    <x v="1"/>
    <x v="0"/>
    <n v="144"/>
  </r>
  <r>
    <x v="3"/>
    <x v="2"/>
    <x v="1"/>
    <n v="155"/>
  </r>
  <r>
    <x v="4"/>
    <x v="3"/>
    <x v="2"/>
    <n v="166"/>
  </r>
  <r>
    <x v="5"/>
    <x v="0"/>
    <x v="4"/>
    <n v="144"/>
  </r>
  <r>
    <x v="6"/>
    <x v="1"/>
    <x v="5"/>
    <n v="177"/>
  </r>
  <r>
    <x v="0"/>
    <x v="2"/>
    <x v="6"/>
    <n v="199"/>
  </r>
  <r>
    <x v="1"/>
    <x v="0"/>
    <x v="7"/>
    <n v="200"/>
  </r>
  <r>
    <x v="2"/>
    <x v="1"/>
    <x v="3"/>
    <n v="230"/>
  </r>
  <r>
    <x v="3"/>
    <x v="2"/>
    <x v="8"/>
    <n v="430"/>
  </r>
  <r>
    <x v="4"/>
    <x v="3"/>
    <x v="0"/>
    <n v="230"/>
  </r>
  <r>
    <x v="5"/>
    <x v="0"/>
    <x v="1"/>
    <n v="430"/>
  </r>
  <r>
    <x v="6"/>
    <x v="1"/>
    <x v="2"/>
    <n v="199"/>
  </r>
  <r>
    <x v="0"/>
    <x v="2"/>
    <x v="3"/>
    <n v="140"/>
  </r>
  <r>
    <x v="1"/>
    <x v="3"/>
    <x v="1"/>
    <n v="260"/>
  </r>
  <r>
    <x v="2"/>
    <x v="0"/>
    <x v="2"/>
    <n v="300"/>
  </r>
  <r>
    <x v="3"/>
    <x v="1"/>
    <x v="0"/>
    <n v="160"/>
  </r>
  <r>
    <x v="4"/>
    <x v="2"/>
    <x v="1"/>
    <n v="176"/>
  </r>
  <r>
    <x v="5"/>
    <x v="3"/>
    <x v="2"/>
    <n v="156"/>
  </r>
  <r>
    <x v="6"/>
    <x v="0"/>
    <x v="0"/>
    <n v="190"/>
  </r>
  <r>
    <x v="0"/>
    <x v="1"/>
    <x v="1"/>
    <n v="144"/>
  </r>
  <r>
    <x v="1"/>
    <x v="2"/>
    <x v="2"/>
    <n v="155"/>
  </r>
  <r>
    <x v="2"/>
    <x v="0"/>
    <x v="4"/>
    <n v="166"/>
  </r>
  <r>
    <x v="3"/>
    <x v="1"/>
    <x v="5"/>
    <n v="144"/>
  </r>
  <r>
    <x v="4"/>
    <x v="2"/>
    <x v="6"/>
    <n v="177"/>
  </r>
  <r>
    <x v="5"/>
    <x v="3"/>
    <x v="7"/>
    <n v="199"/>
  </r>
  <r>
    <x v="6"/>
    <x v="0"/>
    <x v="3"/>
    <n v="200"/>
  </r>
  <r>
    <x v="0"/>
    <x v="1"/>
    <x v="8"/>
    <n v="230"/>
  </r>
  <r>
    <x v="1"/>
    <x v="2"/>
    <x v="0"/>
    <n v="430"/>
  </r>
  <r>
    <x v="2"/>
    <x v="3"/>
    <x v="1"/>
    <n v="230"/>
  </r>
  <r>
    <x v="3"/>
    <x v="0"/>
    <x v="2"/>
    <n v="430"/>
  </r>
  <r>
    <x v="4"/>
    <x v="1"/>
    <x v="3"/>
    <n v="199"/>
  </r>
  <r>
    <x v="5"/>
    <x v="2"/>
    <x v="1"/>
    <n v="140"/>
  </r>
  <r>
    <x v="6"/>
    <x v="3"/>
    <x v="2"/>
    <n v="260"/>
  </r>
  <r>
    <x v="0"/>
    <x v="0"/>
    <x v="0"/>
    <n v="300"/>
  </r>
  <r>
    <x v="1"/>
    <x v="1"/>
    <x v="1"/>
    <n v="160"/>
  </r>
  <r>
    <x v="2"/>
    <x v="2"/>
    <x v="2"/>
    <n v="176"/>
  </r>
  <r>
    <x v="3"/>
    <x v="0"/>
    <x v="0"/>
    <n v="156"/>
  </r>
  <r>
    <x v="4"/>
    <x v="1"/>
    <x v="1"/>
    <n v="190"/>
  </r>
  <r>
    <x v="5"/>
    <x v="2"/>
    <x v="2"/>
    <n v="144"/>
  </r>
  <r>
    <x v="6"/>
    <x v="3"/>
    <x v="4"/>
    <n v="155"/>
  </r>
  <r>
    <x v="0"/>
    <x v="0"/>
    <x v="5"/>
    <n v="166"/>
  </r>
  <r>
    <x v="1"/>
    <x v="1"/>
    <x v="6"/>
    <n v="144"/>
  </r>
  <r>
    <x v="2"/>
    <x v="2"/>
    <x v="7"/>
    <n v="177"/>
  </r>
  <r>
    <x v="3"/>
    <x v="3"/>
    <x v="3"/>
    <n v="199"/>
  </r>
  <r>
    <x v="4"/>
    <x v="0"/>
    <x v="8"/>
    <n v="200"/>
  </r>
  <r>
    <x v="5"/>
    <x v="1"/>
    <x v="0"/>
    <n v="230"/>
  </r>
  <r>
    <x v="6"/>
    <x v="2"/>
    <x v="1"/>
    <n v="430"/>
  </r>
  <r>
    <x v="0"/>
    <x v="3"/>
    <x v="2"/>
    <n v="230"/>
  </r>
  <r>
    <x v="1"/>
    <x v="0"/>
    <x v="3"/>
    <n v="430"/>
  </r>
  <r>
    <x v="2"/>
    <x v="1"/>
    <x v="1"/>
    <n v="199"/>
  </r>
  <r>
    <x v="3"/>
    <x v="2"/>
    <x v="2"/>
    <n v="140"/>
  </r>
  <r>
    <x v="4"/>
    <x v="0"/>
    <x v="0"/>
    <n v="260"/>
  </r>
  <r>
    <x v="5"/>
    <x v="1"/>
    <x v="1"/>
    <n v="300"/>
  </r>
  <r>
    <x v="6"/>
    <x v="2"/>
    <x v="2"/>
    <n v="160"/>
  </r>
  <r>
    <x v="0"/>
    <x v="3"/>
    <x v="0"/>
    <n v="176"/>
  </r>
  <r>
    <x v="1"/>
    <x v="0"/>
    <x v="1"/>
    <n v="156"/>
  </r>
  <r>
    <x v="2"/>
    <x v="1"/>
    <x v="2"/>
    <n v="190"/>
  </r>
  <r>
    <x v="3"/>
    <x v="2"/>
    <x v="4"/>
    <n v="144"/>
  </r>
  <r>
    <x v="4"/>
    <x v="3"/>
    <x v="5"/>
    <n v="155"/>
  </r>
  <r>
    <x v="5"/>
    <x v="0"/>
    <x v="6"/>
    <n v="166"/>
  </r>
  <r>
    <x v="6"/>
    <x v="1"/>
    <x v="7"/>
    <n v="144"/>
  </r>
  <r>
    <x v="0"/>
    <x v="2"/>
    <x v="3"/>
    <n v="177"/>
  </r>
  <r>
    <x v="1"/>
    <x v="3"/>
    <x v="8"/>
    <n v="199"/>
  </r>
  <r>
    <x v="2"/>
    <x v="0"/>
    <x v="0"/>
    <n v="200"/>
  </r>
  <r>
    <x v="3"/>
    <x v="1"/>
    <x v="1"/>
    <n v="230"/>
  </r>
  <r>
    <x v="4"/>
    <x v="2"/>
    <x v="2"/>
    <n v="430"/>
  </r>
  <r>
    <x v="5"/>
    <x v="0"/>
    <x v="3"/>
    <n v="230"/>
  </r>
  <r>
    <x v="6"/>
    <x v="1"/>
    <x v="1"/>
    <n v="430"/>
  </r>
  <r>
    <x v="0"/>
    <x v="2"/>
    <x v="2"/>
    <n v="199"/>
  </r>
  <r>
    <x v="1"/>
    <x v="3"/>
    <x v="0"/>
    <n v="140"/>
  </r>
  <r>
    <x v="2"/>
    <x v="0"/>
    <x v="1"/>
    <n v="260"/>
  </r>
  <r>
    <x v="3"/>
    <x v="1"/>
    <x v="2"/>
    <n v="300"/>
  </r>
  <r>
    <x v="4"/>
    <x v="2"/>
    <x v="0"/>
    <n v="144"/>
  </r>
  <r>
    <x v="5"/>
    <x v="3"/>
    <x v="1"/>
    <n v="155"/>
  </r>
  <r>
    <x v="6"/>
    <x v="0"/>
    <x v="2"/>
    <n v="166"/>
  </r>
  <r>
    <x v="0"/>
    <x v="1"/>
    <x v="4"/>
    <n v="144"/>
  </r>
  <r>
    <x v="1"/>
    <x v="2"/>
    <x v="5"/>
    <n v="177"/>
  </r>
  <r>
    <x v="2"/>
    <x v="3"/>
    <x v="6"/>
    <n v="199"/>
  </r>
  <r>
    <x v="3"/>
    <x v="0"/>
    <x v="7"/>
    <n v="200"/>
  </r>
  <r>
    <x v="4"/>
    <x v="1"/>
    <x v="3"/>
    <n v="230"/>
  </r>
  <r>
    <x v="5"/>
    <x v="2"/>
    <x v="8"/>
    <n v="430"/>
  </r>
  <r>
    <x v="6"/>
    <x v="0"/>
    <x v="0"/>
    <n v="230"/>
  </r>
  <r>
    <x v="0"/>
    <x v="1"/>
    <x v="1"/>
    <n v="430"/>
  </r>
  <r>
    <x v="1"/>
    <x v="2"/>
    <x v="2"/>
    <n v="199"/>
  </r>
  <r>
    <x v="2"/>
    <x v="3"/>
    <x v="3"/>
    <n v="140"/>
  </r>
  <r>
    <x v="3"/>
    <x v="0"/>
    <x v="1"/>
    <n v="260"/>
  </r>
  <r>
    <x v="4"/>
    <x v="1"/>
    <x v="2"/>
    <n v="300"/>
  </r>
  <r>
    <x v="5"/>
    <x v="2"/>
    <x v="0"/>
    <n v="160"/>
  </r>
  <r>
    <x v="6"/>
    <x v="3"/>
    <x v="1"/>
    <n v="176"/>
  </r>
  <r>
    <x v="0"/>
    <x v="0"/>
    <x v="2"/>
    <n v="156"/>
  </r>
  <r>
    <x v="1"/>
    <x v="1"/>
    <x v="0"/>
    <n v="190"/>
  </r>
  <r>
    <x v="2"/>
    <x v="2"/>
    <x v="1"/>
    <n v="144"/>
  </r>
  <r>
    <x v="3"/>
    <x v="3"/>
    <x v="2"/>
    <n v="155"/>
  </r>
  <r>
    <x v="4"/>
    <x v="0"/>
    <x v="4"/>
    <n v="166"/>
  </r>
  <r>
    <x v="5"/>
    <x v="1"/>
    <x v="5"/>
    <n v="144"/>
  </r>
  <r>
    <x v="6"/>
    <x v="2"/>
    <x v="6"/>
    <n v="177"/>
  </r>
  <r>
    <x v="0"/>
    <x v="0"/>
    <x v="7"/>
    <n v="199"/>
  </r>
  <r>
    <x v="1"/>
    <x v="1"/>
    <x v="3"/>
    <n v="200"/>
  </r>
  <r>
    <x v="2"/>
    <x v="2"/>
    <x v="8"/>
    <n v="230"/>
  </r>
  <r>
    <x v="3"/>
    <x v="3"/>
    <x v="0"/>
    <n v="430"/>
  </r>
  <r>
    <x v="4"/>
    <x v="0"/>
    <x v="1"/>
    <n v="230"/>
  </r>
  <r>
    <x v="5"/>
    <x v="1"/>
    <x v="2"/>
    <n v="430"/>
  </r>
  <r>
    <x v="6"/>
    <x v="2"/>
    <x v="3"/>
    <n v="199"/>
  </r>
  <r>
    <x v="0"/>
    <x v="3"/>
    <x v="1"/>
    <n v="140"/>
  </r>
  <r>
    <x v="1"/>
    <x v="0"/>
    <x v="2"/>
    <n v="260"/>
  </r>
  <r>
    <x v="2"/>
    <x v="1"/>
    <x v="0"/>
    <n v="300"/>
  </r>
  <r>
    <x v="3"/>
    <x v="2"/>
    <x v="1"/>
    <n v="144"/>
  </r>
  <r>
    <x v="4"/>
    <x v="3"/>
    <x v="2"/>
    <n v="155"/>
  </r>
  <r>
    <x v="5"/>
    <x v="0"/>
    <x v="0"/>
    <n v="166"/>
  </r>
  <r>
    <x v="6"/>
    <x v="1"/>
    <x v="1"/>
    <n v="144"/>
  </r>
  <r>
    <x v="0"/>
    <x v="2"/>
    <x v="2"/>
    <n v="177"/>
  </r>
  <r>
    <x v="1"/>
    <x v="0"/>
    <x v="4"/>
    <n v="199"/>
  </r>
  <r>
    <x v="2"/>
    <x v="1"/>
    <x v="5"/>
    <n v="200"/>
  </r>
  <r>
    <x v="3"/>
    <x v="2"/>
    <x v="6"/>
    <n v="230"/>
  </r>
  <r>
    <x v="4"/>
    <x v="3"/>
    <x v="7"/>
    <n v="430"/>
  </r>
  <r>
    <x v="5"/>
    <x v="0"/>
    <x v="3"/>
    <n v="230"/>
  </r>
  <r>
    <x v="6"/>
    <x v="1"/>
    <x v="8"/>
    <n v="430"/>
  </r>
  <r>
    <x v="0"/>
    <x v="2"/>
    <x v="0"/>
    <n v="199"/>
  </r>
  <r>
    <x v="1"/>
    <x v="3"/>
    <x v="1"/>
    <n v="140"/>
  </r>
  <r>
    <x v="2"/>
    <x v="0"/>
    <x v="2"/>
    <n v="260"/>
  </r>
  <r>
    <x v="3"/>
    <x v="1"/>
    <x v="3"/>
    <n v="300"/>
  </r>
  <r>
    <x v="4"/>
    <x v="2"/>
    <x v="1"/>
    <n v="160"/>
  </r>
  <r>
    <x v="5"/>
    <x v="3"/>
    <x v="2"/>
    <n v="176"/>
  </r>
  <r>
    <x v="6"/>
    <x v="0"/>
    <x v="0"/>
    <n v="156"/>
  </r>
  <r>
    <x v="0"/>
    <x v="1"/>
    <x v="1"/>
    <n v="190"/>
  </r>
  <r>
    <x v="1"/>
    <x v="2"/>
    <x v="2"/>
    <n v="144"/>
  </r>
  <r>
    <x v="2"/>
    <x v="0"/>
    <x v="0"/>
    <n v="155"/>
  </r>
  <r>
    <x v="3"/>
    <x v="1"/>
    <x v="1"/>
    <n v="166"/>
  </r>
  <r>
    <x v="4"/>
    <x v="2"/>
    <x v="2"/>
    <n v="144"/>
  </r>
  <r>
    <x v="5"/>
    <x v="3"/>
    <x v="4"/>
    <n v="177"/>
  </r>
  <r>
    <x v="6"/>
    <x v="0"/>
    <x v="5"/>
    <n v="199"/>
  </r>
  <r>
    <x v="0"/>
    <x v="1"/>
    <x v="6"/>
    <n v="200"/>
  </r>
  <r>
    <x v="1"/>
    <x v="2"/>
    <x v="7"/>
    <n v="230"/>
  </r>
  <r>
    <x v="2"/>
    <x v="3"/>
    <x v="3"/>
    <n v="430"/>
  </r>
  <r>
    <x v="3"/>
    <x v="0"/>
    <x v="8"/>
    <n v="230"/>
  </r>
  <r>
    <x v="4"/>
    <x v="1"/>
    <x v="0"/>
    <n v="430"/>
  </r>
  <r>
    <x v="5"/>
    <x v="2"/>
    <x v="1"/>
    <n v="199"/>
  </r>
  <r>
    <x v="6"/>
    <x v="3"/>
    <x v="2"/>
    <n v="140"/>
  </r>
  <r>
    <x v="0"/>
    <x v="0"/>
    <x v="3"/>
    <n v="260"/>
  </r>
  <r>
    <x v="1"/>
    <x v="1"/>
    <x v="1"/>
    <n v="300"/>
  </r>
  <r>
    <x v="2"/>
    <x v="2"/>
    <x v="2"/>
    <n v="144"/>
  </r>
  <r>
    <x v="3"/>
    <x v="0"/>
    <x v="0"/>
    <n v="155"/>
  </r>
  <r>
    <x v="4"/>
    <x v="1"/>
    <x v="1"/>
    <n v="166"/>
  </r>
  <r>
    <x v="5"/>
    <x v="2"/>
    <x v="2"/>
    <n v="144"/>
  </r>
  <r>
    <x v="6"/>
    <x v="3"/>
    <x v="0"/>
    <n v="177"/>
  </r>
  <r>
    <x v="0"/>
    <x v="0"/>
    <x v="1"/>
    <n v="199"/>
  </r>
  <r>
    <x v="1"/>
    <x v="1"/>
    <x v="2"/>
    <n v="200"/>
  </r>
  <r>
    <x v="2"/>
    <x v="2"/>
    <x v="4"/>
    <n v="230"/>
  </r>
  <r>
    <x v="3"/>
    <x v="3"/>
    <x v="5"/>
    <n v="430"/>
  </r>
  <r>
    <x v="4"/>
    <x v="0"/>
    <x v="6"/>
    <n v="230"/>
  </r>
  <r>
    <x v="5"/>
    <x v="1"/>
    <x v="7"/>
    <n v="430"/>
  </r>
  <r>
    <x v="6"/>
    <x v="2"/>
    <x v="3"/>
    <n v="199"/>
  </r>
  <r>
    <x v="0"/>
    <x v="3"/>
    <x v="8"/>
    <n v="140"/>
  </r>
  <r>
    <x v="1"/>
    <x v="0"/>
    <x v="0"/>
    <n v="260"/>
  </r>
  <r>
    <x v="2"/>
    <x v="1"/>
    <x v="1"/>
    <n v="300"/>
  </r>
  <r>
    <x v="3"/>
    <x v="2"/>
    <x v="2"/>
    <n v="160"/>
  </r>
  <r>
    <x v="4"/>
    <x v="0"/>
    <x v="3"/>
    <n v="176"/>
  </r>
  <r>
    <x v="5"/>
    <x v="1"/>
    <x v="1"/>
    <n v="156"/>
  </r>
  <r>
    <x v="6"/>
    <x v="2"/>
    <x v="2"/>
    <n v="190"/>
  </r>
  <r>
    <x v="0"/>
    <x v="3"/>
    <x v="0"/>
    <n v="144"/>
  </r>
  <r>
    <x v="1"/>
    <x v="0"/>
    <x v="9"/>
    <n v="1000"/>
  </r>
  <r>
    <x v="2"/>
    <x v="1"/>
    <x v="9"/>
    <n v="156"/>
  </r>
  <r>
    <x v="3"/>
    <x v="2"/>
    <x v="9"/>
    <n v="190"/>
  </r>
  <r>
    <x v="0"/>
    <x v="3"/>
    <x v="9"/>
    <n v="1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C196D2-5EDD-4AA1-B661-F209CD5A2F5A}" name="PivotTable1" cacheId="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B7" firstHeaderRow="1" firstDataRow="1" firstDataCol="1"/>
  <pivotFields count="4">
    <pivotField showAll="0">
      <items count="8">
        <item x="3"/>
        <item x="0"/>
        <item x="5"/>
        <item x="4"/>
        <item x="1"/>
        <item x="2"/>
        <item x="6"/>
        <item t="default"/>
      </items>
    </pivotField>
    <pivotField axis="axisRow" showAll="0">
      <items count="5">
        <item x="0"/>
        <item x="2"/>
        <item x="3"/>
        <item x="1"/>
        <item t="default"/>
      </items>
    </pivotField>
    <pivotField showAll="0">
      <items count="11">
        <item h="1" x="8"/>
        <item h="1" x="6"/>
        <item h="1" x="1"/>
        <item h="1" x="9"/>
        <item x="0"/>
        <item h="1" x="5"/>
        <item h="1" x="2"/>
        <item h="1" x="4"/>
        <item h="1" x="7"/>
        <item h="1" x="3"/>
        <item t="default"/>
      </items>
    </pivotField>
    <pivotField dataField="1" showAll="0"/>
  </pivotFields>
  <rowFields count="1">
    <field x="1"/>
  </rowFields>
  <rowItems count="4">
    <i>
      <x/>
    </i>
    <i>
      <x v="1"/>
    </i>
    <i>
      <x v="2"/>
    </i>
    <i>
      <x v="3"/>
    </i>
  </rowItems>
  <colItems count="1">
    <i/>
  </colItems>
  <dataFields count="1">
    <dataField name="Sum of Sales" fld="3"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69B276-AF23-4164-9821-792C12A8BC9D}"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1" firstHeaderRow="1" firstDataRow="1" firstDataCol="1"/>
  <pivotFields count="4">
    <pivotField axis="axisRow" showAll="0">
      <items count="8">
        <item x="3"/>
        <item x="0"/>
        <item x="5"/>
        <item x="4"/>
        <item x="1"/>
        <item x="2"/>
        <item x="6"/>
        <item t="default"/>
      </items>
    </pivotField>
    <pivotField showAll="0"/>
    <pivotField showAll="0">
      <items count="11">
        <item h="1" x="8"/>
        <item h="1" x="6"/>
        <item h="1" x="1"/>
        <item h="1" x="9"/>
        <item x="0"/>
        <item h="1" x="5"/>
        <item h="1" x="2"/>
        <item h="1" x="4"/>
        <item h="1" x="7"/>
        <item h="1" x="3"/>
        <item t="default"/>
      </items>
    </pivotField>
    <pivotField dataField="1" showAll="0"/>
  </pivotFields>
  <rowFields count="1">
    <field x="0"/>
  </rowFields>
  <rowItems count="8">
    <i>
      <x/>
    </i>
    <i>
      <x v="1"/>
    </i>
    <i>
      <x v="2"/>
    </i>
    <i>
      <x v="3"/>
    </i>
    <i>
      <x v="4"/>
    </i>
    <i>
      <x v="5"/>
    </i>
    <i>
      <x v="6"/>
    </i>
    <i t="grand">
      <x/>
    </i>
  </rowItems>
  <colItems count="1">
    <i/>
  </colItems>
  <dataFields count="1">
    <dataField name="Sum of Sales" fld="3" showDataAs="percentOfCol" baseField="0" baseItem="0" numFmtId="1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5A1BFB13-5B8C-431B-A2A6-99DDD034C285}" sourceName="Seller">
  <pivotTables>
    <pivotTable tabId="3" name="PivotTable1"/>
    <pivotTable tabId="5" name="PivotTable2"/>
  </pivotTables>
  <data>
    <tabular pivotCacheId="1906441579">
      <items count="7">
        <i x="3" s="1"/>
        <i x="0" s="1"/>
        <i x="5" s="1"/>
        <i x="4" s="1"/>
        <i x="1"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9E26B5C5-A457-4913-B431-D6DC4067F090}" sourceName="Item">
  <pivotTables>
    <pivotTable tabId="3" name="PivotTable1"/>
    <pivotTable tabId="5" name="PivotTable2"/>
  </pivotTables>
  <data>
    <tabular pivotCacheId="1906441579">
      <items count="10">
        <i x="8"/>
        <i x="6"/>
        <i x="1"/>
        <i x="9"/>
        <i x="0" s="1"/>
        <i x="5"/>
        <i x="2"/>
        <i x="4"/>
        <i x="7"/>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xr10:uid="{7DB14723-73BF-42A5-A646-5F11860F84D5}" cache="Slicer_Seller" caption="Seller" rowHeight="241300"/>
  <slicer name="Item" xr10:uid="{93842B16-8920-4C66-BE04-FECEE155B267}" cache="Slicer_Item" caption="Item" startItem="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1" xr10:uid="{7F3DE0E0-2E21-4833-94CC-A19697468F87}" cache="Slicer_Seller" caption="Seller" columnCount="7" style="SlicerStyleDark2" rowHeight="241300"/>
  <slicer name="Item 1" xr10:uid="{E0D4D421-0FE0-4817-AD19-659499A48EC3}" cache="Slicer_Item" caption="Item" showCaption="0" style="SlicerStyleDark2"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D41E2E-6CBC-43EF-A6FD-42BA34C6FC27}" name="Table1" displayName="Table1" ref="A1:D174" totalsRowShown="0" headerRowDxfId="4" dataDxfId="5">
  <tableColumns count="4">
    <tableColumn id="1" xr3:uid="{E3715179-B536-4D82-A9F3-11663D3C87F7}" name="Seller" dataDxfId="2"/>
    <tableColumn id="2" xr3:uid="{40D5B5A0-26C7-4F07-81BA-3E466DED462D}" name="Region" dataDxfId="3"/>
    <tableColumn id="3" xr3:uid="{C9C90053-6633-47AB-A61B-EBB4201F1CDE}" name="Item" dataDxfId="1"/>
    <tableColumn id="4" xr3:uid="{0470C696-F564-40B0-9A9A-69057F940B60}" name="Sales" dataDxfId="6"/>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4A885-BE4E-418E-940B-0AD4B42A0AD0}">
  <dimension ref="A1:D174"/>
  <sheetViews>
    <sheetView topLeftCell="A2" workbookViewId="0">
      <selection activeCell="C70" sqref="A2:D174"/>
    </sheetView>
  </sheetViews>
  <sheetFormatPr defaultRowHeight="14.5" x14ac:dyDescent="0.35"/>
  <cols>
    <col min="1" max="1" width="14.26953125" bestFit="1" customWidth="1"/>
    <col min="2" max="2" width="9.54296875" customWidth="1"/>
    <col min="3" max="3" width="14.1796875" bestFit="1" customWidth="1"/>
    <col min="4" max="4" width="7" customWidth="1"/>
  </cols>
  <sheetData>
    <row r="1" spans="1:4" ht="18" x14ac:dyDescent="0.4">
      <c r="A1" s="2" t="s">
        <v>0</v>
      </c>
      <c r="B1" s="2" t="s">
        <v>22</v>
      </c>
      <c r="C1" s="2" t="s">
        <v>23</v>
      </c>
      <c r="D1" s="2" t="s">
        <v>24</v>
      </c>
    </row>
    <row r="2" spans="1:4" x14ac:dyDescent="0.35">
      <c r="A2" s="1" t="s">
        <v>1</v>
      </c>
      <c r="B2" s="1" t="s">
        <v>2</v>
      </c>
      <c r="C2" s="1" t="s">
        <v>3</v>
      </c>
      <c r="D2" s="1">
        <v>100</v>
      </c>
    </row>
    <row r="3" spans="1:4" x14ac:dyDescent="0.35">
      <c r="A3" s="1" t="s">
        <v>4</v>
      </c>
      <c r="B3" s="1" t="s">
        <v>5</v>
      </c>
      <c r="C3" s="1" t="s">
        <v>6</v>
      </c>
      <c r="D3" s="1">
        <v>200</v>
      </c>
    </row>
    <row r="4" spans="1:4" x14ac:dyDescent="0.35">
      <c r="A4" s="1" t="s">
        <v>7</v>
      </c>
      <c r="B4" s="1" t="s">
        <v>8</v>
      </c>
      <c r="C4" s="1" t="s">
        <v>9</v>
      </c>
      <c r="D4" s="1">
        <v>150</v>
      </c>
    </row>
    <row r="5" spans="1:4" x14ac:dyDescent="0.35">
      <c r="A5" s="1" t="s">
        <v>10</v>
      </c>
      <c r="B5" s="1" t="s">
        <v>11</v>
      </c>
      <c r="C5" s="1" t="s">
        <v>12</v>
      </c>
      <c r="D5" s="1">
        <v>160</v>
      </c>
    </row>
    <row r="6" spans="1:4" x14ac:dyDescent="0.35">
      <c r="A6" s="1" t="s">
        <v>13</v>
      </c>
      <c r="B6" s="1" t="s">
        <v>2</v>
      </c>
      <c r="C6" s="1" t="s">
        <v>6</v>
      </c>
      <c r="D6" s="1">
        <v>130</v>
      </c>
    </row>
    <row r="7" spans="1:4" x14ac:dyDescent="0.35">
      <c r="A7" s="1" t="s">
        <v>14</v>
      </c>
      <c r="B7" s="1" t="s">
        <v>5</v>
      </c>
      <c r="C7" s="1" t="s">
        <v>9</v>
      </c>
      <c r="D7" s="1">
        <v>160</v>
      </c>
    </row>
    <row r="8" spans="1:4" x14ac:dyDescent="0.35">
      <c r="A8" s="1" t="s">
        <v>15</v>
      </c>
      <c r="B8" s="1" t="s">
        <v>8</v>
      </c>
      <c r="C8" s="1" t="s">
        <v>3</v>
      </c>
      <c r="D8" s="1">
        <v>176</v>
      </c>
    </row>
    <row r="9" spans="1:4" x14ac:dyDescent="0.35">
      <c r="A9" s="1" t="s">
        <v>1</v>
      </c>
      <c r="B9" s="1" t="s">
        <v>11</v>
      </c>
      <c r="C9" s="1" t="s">
        <v>6</v>
      </c>
      <c r="D9" s="1">
        <v>156</v>
      </c>
    </row>
    <row r="10" spans="1:4" x14ac:dyDescent="0.35">
      <c r="A10" s="1" t="s">
        <v>4</v>
      </c>
      <c r="B10" s="1" t="s">
        <v>2</v>
      </c>
      <c r="C10" s="1" t="s">
        <v>9</v>
      </c>
      <c r="D10" s="1">
        <v>190</v>
      </c>
    </row>
    <row r="11" spans="1:4" x14ac:dyDescent="0.35">
      <c r="A11" s="1" t="s">
        <v>7</v>
      </c>
      <c r="B11" s="1" t="s">
        <v>5</v>
      </c>
      <c r="C11" s="1" t="s">
        <v>3</v>
      </c>
      <c r="D11" s="1">
        <v>144</v>
      </c>
    </row>
    <row r="12" spans="1:4" x14ac:dyDescent="0.35">
      <c r="A12" s="1" t="s">
        <v>10</v>
      </c>
      <c r="B12" s="1" t="s">
        <v>8</v>
      </c>
      <c r="C12" s="1" t="s">
        <v>6</v>
      </c>
      <c r="D12" s="1">
        <v>155</v>
      </c>
    </row>
    <row r="13" spans="1:4" x14ac:dyDescent="0.35">
      <c r="A13" s="1" t="s">
        <v>13</v>
      </c>
      <c r="B13" s="1" t="s">
        <v>11</v>
      </c>
      <c r="C13" s="1" t="s">
        <v>9</v>
      </c>
      <c r="D13" s="1">
        <v>166</v>
      </c>
    </row>
    <row r="14" spans="1:4" x14ac:dyDescent="0.35">
      <c r="A14" s="1" t="s">
        <v>14</v>
      </c>
      <c r="B14" s="1" t="s">
        <v>2</v>
      </c>
      <c r="C14" s="1" t="s">
        <v>16</v>
      </c>
      <c r="D14" s="1">
        <v>144</v>
      </c>
    </row>
    <row r="15" spans="1:4" x14ac:dyDescent="0.35">
      <c r="A15" s="1" t="s">
        <v>15</v>
      </c>
      <c r="B15" s="1" t="s">
        <v>5</v>
      </c>
      <c r="C15" s="1" t="s">
        <v>17</v>
      </c>
      <c r="D15" s="1">
        <v>177</v>
      </c>
    </row>
    <row r="16" spans="1:4" x14ac:dyDescent="0.35">
      <c r="A16" s="1" t="s">
        <v>1</v>
      </c>
      <c r="B16" s="1" t="s">
        <v>8</v>
      </c>
      <c r="C16" s="1" t="s">
        <v>18</v>
      </c>
      <c r="D16" s="1">
        <v>199</v>
      </c>
    </row>
    <row r="17" spans="1:4" x14ac:dyDescent="0.35">
      <c r="A17" s="1" t="s">
        <v>4</v>
      </c>
      <c r="B17" s="1" t="s">
        <v>2</v>
      </c>
      <c r="C17" s="1" t="s">
        <v>19</v>
      </c>
      <c r="D17" s="1">
        <v>200</v>
      </c>
    </row>
    <row r="18" spans="1:4" x14ac:dyDescent="0.35">
      <c r="A18" s="1" t="s">
        <v>7</v>
      </c>
      <c r="B18" s="1" t="s">
        <v>5</v>
      </c>
      <c r="C18" s="1" t="s">
        <v>12</v>
      </c>
      <c r="D18" s="1">
        <v>230</v>
      </c>
    </row>
    <row r="19" spans="1:4" x14ac:dyDescent="0.35">
      <c r="A19" s="1" t="s">
        <v>10</v>
      </c>
      <c r="B19" s="1" t="s">
        <v>8</v>
      </c>
      <c r="C19" s="1" t="s">
        <v>20</v>
      </c>
      <c r="D19" s="1">
        <v>430</v>
      </c>
    </row>
    <row r="20" spans="1:4" x14ac:dyDescent="0.35">
      <c r="A20" s="1" t="s">
        <v>13</v>
      </c>
      <c r="B20" s="1" t="s">
        <v>11</v>
      </c>
      <c r="C20" s="1" t="s">
        <v>3</v>
      </c>
      <c r="D20" s="1">
        <v>230</v>
      </c>
    </row>
    <row r="21" spans="1:4" x14ac:dyDescent="0.35">
      <c r="A21" s="1" t="s">
        <v>14</v>
      </c>
      <c r="B21" s="1" t="s">
        <v>2</v>
      </c>
      <c r="C21" s="1" t="s">
        <v>6</v>
      </c>
      <c r="D21" s="1">
        <v>430</v>
      </c>
    </row>
    <row r="22" spans="1:4" x14ac:dyDescent="0.35">
      <c r="A22" s="1" t="s">
        <v>15</v>
      </c>
      <c r="B22" s="1" t="s">
        <v>5</v>
      </c>
      <c r="C22" s="1" t="s">
        <v>9</v>
      </c>
      <c r="D22" s="1">
        <v>199</v>
      </c>
    </row>
    <row r="23" spans="1:4" x14ac:dyDescent="0.35">
      <c r="A23" s="1" t="s">
        <v>1</v>
      </c>
      <c r="B23" s="1" t="s">
        <v>8</v>
      </c>
      <c r="C23" s="1" t="s">
        <v>12</v>
      </c>
      <c r="D23" s="1">
        <v>140</v>
      </c>
    </row>
    <row r="24" spans="1:4" x14ac:dyDescent="0.35">
      <c r="A24" s="1" t="s">
        <v>4</v>
      </c>
      <c r="B24" s="1" t="s">
        <v>11</v>
      </c>
      <c r="C24" s="1" t="s">
        <v>6</v>
      </c>
      <c r="D24" s="1">
        <v>260</v>
      </c>
    </row>
    <row r="25" spans="1:4" x14ac:dyDescent="0.35">
      <c r="A25" s="1" t="s">
        <v>7</v>
      </c>
      <c r="B25" s="1" t="s">
        <v>2</v>
      </c>
      <c r="C25" s="1" t="s">
        <v>9</v>
      </c>
      <c r="D25" s="1">
        <v>300</v>
      </c>
    </row>
    <row r="26" spans="1:4" x14ac:dyDescent="0.35">
      <c r="A26" s="1" t="s">
        <v>10</v>
      </c>
      <c r="B26" s="1" t="s">
        <v>5</v>
      </c>
      <c r="C26" s="1" t="s">
        <v>3</v>
      </c>
      <c r="D26" s="1">
        <v>160</v>
      </c>
    </row>
    <row r="27" spans="1:4" x14ac:dyDescent="0.35">
      <c r="A27" s="1" t="s">
        <v>13</v>
      </c>
      <c r="B27" s="1" t="s">
        <v>8</v>
      </c>
      <c r="C27" s="1" t="s">
        <v>6</v>
      </c>
      <c r="D27" s="1">
        <v>176</v>
      </c>
    </row>
    <row r="28" spans="1:4" x14ac:dyDescent="0.35">
      <c r="A28" s="1" t="s">
        <v>14</v>
      </c>
      <c r="B28" s="1" t="s">
        <v>11</v>
      </c>
      <c r="C28" s="1" t="s">
        <v>9</v>
      </c>
      <c r="D28" s="1">
        <v>156</v>
      </c>
    </row>
    <row r="29" spans="1:4" x14ac:dyDescent="0.35">
      <c r="A29" s="1" t="s">
        <v>15</v>
      </c>
      <c r="B29" s="1" t="s">
        <v>2</v>
      </c>
      <c r="C29" s="1" t="s">
        <v>3</v>
      </c>
      <c r="D29" s="1">
        <v>190</v>
      </c>
    </row>
    <row r="30" spans="1:4" x14ac:dyDescent="0.35">
      <c r="A30" s="1" t="s">
        <v>1</v>
      </c>
      <c r="B30" s="1" t="s">
        <v>5</v>
      </c>
      <c r="C30" s="1" t="s">
        <v>6</v>
      </c>
      <c r="D30" s="1">
        <v>144</v>
      </c>
    </row>
    <row r="31" spans="1:4" x14ac:dyDescent="0.35">
      <c r="A31" s="1" t="s">
        <v>4</v>
      </c>
      <c r="B31" s="1" t="s">
        <v>8</v>
      </c>
      <c r="C31" s="1" t="s">
        <v>9</v>
      </c>
      <c r="D31" s="1">
        <v>155</v>
      </c>
    </row>
    <row r="32" spans="1:4" x14ac:dyDescent="0.35">
      <c r="A32" s="1" t="s">
        <v>7</v>
      </c>
      <c r="B32" s="1" t="s">
        <v>2</v>
      </c>
      <c r="C32" s="1" t="s">
        <v>16</v>
      </c>
      <c r="D32" s="1">
        <v>166</v>
      </c>
    </row>
    <row r="33" spans="1:4" x14ac:dyDescent="0.35">
      <c r="A33" s="1" t="s">
        <v>10</v>
      </c>
      <c r="B33" s="1" t="s">
        <v>5</v>
      </c>
      <c r="C33" s="1" t="s">
        <v>17</v>
      </c>
      <c r="D33" s="1">
        <v>144</v>
      </c>
    </row>
    <row r="34" spans="1:4" x14ac:dyDescent="0.35">
      <c r="A34" s="1" t="s">
        <v>13</v>
      </c>
      <c r="B34" s="1" t="s">
        <v>8</v>
      </c>
      <c r="C34" s="1" t="s">
        <v>18</v>
      </c>
      <c r="D34" s="1">
        <v>177</v>
      </c>
    </row>
    <row r="35" spans="1:4" x14ac:dyDescent="0.35">
      <c r="A35" s="1" t="s">
        <v>14</v>
      </c>
      <c r="B35" s="1" t="s">
        <v>11</v>
      </c>
      <c r="C35" s="1" t="s">
        <v>19</v>
      </c>
      <c r="D35" s="1">
        <v>199</v>
      </c>
    </row>
    <row r="36" spans="1:4" x14ac:dyDescent="0.35">
      <c r="A36" s="1" t="s">
        <v>15</v>
      </c>
      <c r="B36" s="1" t="s">
        <v>2</v>
      </c>
      <c r="C36" s="1" t="s">
        <v>12</v>
      </c>
      <c r="D36" s="1">
        <v>200</v>
      </c>
    </row>
    <row r="37" spans="1:4" x14ac:dyDescent="0.35">
      <c r="A37" s="1" t="s">
        <v>1</v>
      </c>
      <c r="B37" s="1" t="s">
        <v>5</v>
      </c>
      <c r="C37" s="1" t="s">
        <v>20</v>
      </c>
      <c r="D37" s="1">
        <v>230</v>
      </c>
    </row>
    <row r="38" spans="1:4" x14ac:dyDescent="0.35">
      <c r="A38" s="1" t="s">
        <v>4</v>
      </c>
      <c r="B38" s="1" t="s">
        <v>8</v>
      </c>
      <c r="C38" s="1" t="s">
        <v>3</v>
      </c>
      <c r="D38" s="1">
        <v>430</v>
      </c>
    </row>
    <row r="39" spans="1:4" x14ac:dyDescent="0.35">
      <c r="A39" s="1" t="s">
        <v>7</v>
      </c>
      <c r="B39" s="1" t="s">
        <v>11</v>
      </c>
      <c r="C39" s="1" t="s">
        <v>6</v>
      </c>
      <c r="D39" s="1">
        <v>230</v>
      </c>
    </row>
    <row r="40" spans="1:4" x14ac:dyDescent="0.35">
      <c r="A40" s="1" t="s">
        <v>10</v>
      </c>
      <c r="B40" s="1" t="s">
        <v>2</v>
      </c>
      <c r="C40" s="1" t="s">
        <v>9</v>
      </c>
      <c r="D40" s="1">
        <v>430</v>
      </c>
    </row>
    <row r="41" spans="1:4" x14ac:dyDescent="0.35">
      <c r="A41" s="1" t="s">
        <v>13</v>
      </c>
      <c r="B41" s="1" t="s">
        <v>5</v>
      </c>
      <c r="C41" s="1" t="s">
        <v>12</v>
      </c>
      <c r="D41" s="1">
        <v>199</v>
      </c>
    </row>
    <row r="42" spans="1:4" x14ac:dyDescent="0.35">
      <c r="A42" s="1" t="s">
        <v>14</v>
      </c>
      <c r="B42" s="1" t="s">
        <v>8</v>
      </c>
      <c r="C42" s="1" t="s">
        <v>6</v>
      </c>
      <c r="D42" s="1">
        <v>140</v>
      </c>
    </row>
    <row r="43" spans="1:4" x14ac:dyDescent="0.35">
      <c r="A43" s="1" t="s">
        <v>15</v>
      </c>
      <c r="B43" s="1" t="s">
        <v>11</v>
      </c>
      <c r="C43" s="1" t="s">
        <v>9</v>
      </c>
      <c r="D43" s="1">
        <v>260</v>
      </c>
    </row>
    <row r="44" spans="1:4" x14ac:dyDescent="0.35">
      <c r="A44" s="1" t="s">
        <v>1</v>
      </c>
      <c r="B44" s="1" t="s">
        <v>2</v>
      </c>
      <c r="C44" s="1" t="s">
        <v>3</v>
      </c>
      <c r="D44" s="1">
        <v>300</v>
      </c>
    </row>
    <row r="45" spans="1:4" x14ac:dyDescent="0.35">
      <c r="A45" s="1" t="s">
        <v>4</v>
      </c>
      <c r="B45" s="1" t="s">
        <v>5</v>
      </c>
      <c r="C45" s="1" t="s">
        <v>6</v>
      </c>
      <c r="D45" s="1">
        <v>160</v>
      </c>
    </row>
    <row r="46" spans="1:4" x14ac:dyDescent="0.35">
      <c r="A46" s="1" t="s">
        <v>7</v>
      </c>
      <c r="B46" s="1" t="s">
        <v>8</v>
      </c>
      <c r="C46" s="1" t="s">
        <v>9</v>
      </c>
      <c r="D46" s="1">
        <v>176</v>
      </c>
    </row>
    <row r="47" spans="1:4" x14ac:dyDescent="0.35">
      <c r="A47" s="1" t="s">
        <v>10</v>
      </c>
      <c r="B47" s="1" t="s">
        <v>2</v>
      </c>
      <c r="C47" s="1" t="s">
        <v>3</v>
      </c>
      <c r="D47" s="1">
        <v>156</v>
      </c>
    </row>
    <row r="48" spans="1:4" x14ac:dyDescent="0.35">
      <c r="A48" s="1" t="s">
        <v>13</v>
      </c>
      <c r="B48" s="1" t="s">
        <v>5</v>
      </c>
      <c r="C48" s="1" t="s">
        <v>6</v>
      </c>
      <c r="D48" s="1">
        <v>190</v>
      </c>
    </row>
    <row r="49" spans="1:4" x14ac:dyDescent="0.35">
      <c r="A49" s="1" t="s">
        <v>14</v>
      </c>
      <c r="B49" s="1" t="s">
        <v>8</v>
      </c>
      <c r="C49" s="1" t="s">
        <v>9</v>
      </c>
      <c r="D49" s="1">
        <v>144</v>
      </c>
    </row>
    <row r="50" spans="1:4" x14ac:dyDescent="0.35">
      <c r="A50" s="1" t="s">
        <v>15</v>
      </c>
      <c r="B50" s="1" t="s">
        <v>11</v>
      </c>
      <c r="C50" s="1" t="s">
        <v>16</v>
      </c>
      <c r="D50" s="1">
        <v>155</v>
      </c>
    </row>
    <row r="51" spans="1:4" x14ac:dyDescent="0.35">
      <c r="A51" s="1" t="s">
        <v>1</v>
      </c>
      <c r="B51" s="1" t="s">
        <v>2</v>
      </c>
      <c r="C51" s="1" t="s">
        <v>17</v>
      </c>
      <c r="D51" s="1">
        <v>166</v>
      </c>
    </row>
    <row r="52" spans="1:4" x14ac:dyDescent="0.35">
      <c r="A52" s="1" t="s">
        <v>4</v>
      </c>
      <c r="B52" s="1" t="s">
        <v>5</v>
      </c>
      <c r="C52" s="1" t="s">
        <v>18</v>
      </c>
      <c r="D52" s="1">
        <v>144</v>
      </c>
    </row>
    <row r="53" spans="1:4" x14ac:dyDescent="0.35">
      <c r="A53" s="1" t="s">
        <v>7</v>
      </c>
      <c r="B53" s="1" t="s">
        <v>8</v>
      </c>
      <c r="C53" s="1" t="s">
        <v>19</v>
      </c>
      <c r="D53" s="1">
        <v>177</v>
      </c>
    </row>
    <row r="54" spans="1:4" x14ac:dyDescent="0.35">
      <c r="A54" s="1" t="s">
        <v>10</v>
      </c>
      <c r="B54" s="1" t="s">
        <v>11</v>
      </c>
      <c r="C54" s="1" t="s">
        <v>12</v>
      </c>
      <c r="D54" s="1">
        <v>199</v>
      </c>
    </row>
    <row r="55" spans="1:4" x14ac:dyDescent="0.35">
      <c r="A55" s="1" t="s">
        <v>13</v>
      </c>
      <c r="B55" s="1" t="s">
        <v>2</v>
      </c>
      <c r="C55" s="1" t="s">
        <v>20</v>
      </c>
      <c r="D55" s="1">
        <v>200</v>
      </c>
    </row>
    <row r="56" spans="1:4" x14ac:dyDescent="0.35">
      <c r="A56" s="1" t="s">
        <v>14</v>
      </c>
      <c r="B56" s="1" t="s">
        <v>5</v>
      </c>
      <c r="C56" s="1" t="s">
        <v>3</v>
      </c>
      <c r="D56" s="1">
        <v>230</v>
      </c>
    </row>
    <row r="57" spans="1:4" x14ac:dyDescent="0.35">
      <c r="A57" s="1" t="s">
        <v>15</v>
      </c>
      <c r="B57" s="1" t="s">
        <v>8</v>
      </c>
      <c r="C57" s="1" t="s">
        <v>6</v>
      </c>
      <c r="D57" s="1">
        <v>430</v>
      </c>
    </row>
    <row r="58" spans="1:4" x14ac:dyDescent="0.35">
      <c r="A58" s="1" t="s">
        <v>1</v>
      </c>
      <c r="B58" s="1" t="s">
        <v>11</v>
      </c>
      <c r="C58" s="1" t="s">
        <v>9</v>
      </c>
      <c r="D58" s="1">
        <v>230</v>
      </c>
    </row>
    <row r="59" spans="1:4" x14ac:dyDescent="0.35">
      <c r="A59" s="1" t="s">
        <v>4</v>
      </c>
      <c r="B59" s="1" t="s">
        <v>2</v>
      </c>
      <c r="C59" s="1" t="s">
        <v>12</v>
      </c>
      <c r="D59" s="1">
        <v>430</v>
      </c>
    </row>
    <row r="60" spans="1:4" x14ac:dyDescent="0.35">
      <c r="A60" s="1" t="s">
        <v>7</v>
      </c>
      <c r="B60" s="1" t="s">
        <v>5</v>
      </c>
      <c r="C60" s="1" t="s">
        <v>6</v>
      </c>
      <c r="D60" s="1">
        <v>199</v>
      </c>
    </row>
    <row r="61" spans="1:4" x14ac:dyDescent="0.35">
      <c r="A61" s="1" t="s">
        <v>10</v>
      </c>
      <c r="B61" s="1" t="s">
        <v>8</v>
      </c>
      <c r="C61" s="1" t="s">
        <v>9</v>
      </c>
      <c r="D61" s="1">
        <v>140</v>
      </c>
    </row>
    <row r="62" spans="1:4" x14ac:dyDescent="0.35">
      <c r="A62" s="1" t="s">
        <v>13</v>
      </c>
      <c r="B62" s="1" t="s">
        <v>2</v>
      </c>
      <c r="C62" s="1" t="s">
        <v>3</v>
      </c>
      <c r="D62" s="1">
        <v>260</v>
      </c>
    </row>
    <row r="63" spans="1:4" x14ac:dyDescent="0.35">
      <c r="A63" s="1" t="s">
        <v>14</v>
      </c>
      <c r="B63" s="1" t="s">
        <v>5</v>
      </c>
      <c r="C63" s="1" t="s">
        <v>6</v>
      </c>
      <c r="D63" s="1">
        <v>300</v>
      </c>
    </row>
    <row r="64" spans="1:4" x14ac:dyDescent="0.35">
      <c r="A64" s="1" t="s">
        <v>15</v>
      </c>
      <c r="B64" s="1" t="s">
        <v>8</v>
      </c>
      <c r="C64" s="1" t="s">
        <v>9</v>
      </c>
      <c r="D64" s="1">
        <v>160</v>
      </c>
    </row>
    <row r="65" spans="1:4" x14ac:dyDescent="0.35">
      <c r="A65" s="1" t="s">
        <v>1</v>
      </c>
      <c r="B65" s="1" t="s">
        <v>11</v>
      </c>
      <c r="C65" s="1" t="s">
        <v>3</v>
      </c>
      <c r="D65" s="1">
        <v>176</v>
      </c>
    </row>
    <row r="66" spans="1:4" x14ac:dyDescent="0.35">
      <c r="A66" s="1" t="s">
        <v>4</v>
      </c>
      <c r="B66" s="1" t="s">
        <v>2</v>
      </c>
      <c r="C66" s="1" t="s">
        <v>6</v>
      </c>
      <c r="D66" s="1">
        <v>156</v>
      </c>
    </row>
    <row r="67" spans="1:4" x14ac:dyDescent="0.35">
      <c r="A67" s="1" t="s">
        <v>7</v>
      </c>
      <c r="B67" s="1" t="s">
        <v>5</v>
      </c>
      <c r="C67" s="1" t="s">
        <v>9</v>
      </c>
      <c r="D67" s="1">
        <v>190</v>
      </c>
    </row>
    <row r="68" spans="1:4" x14ac:dyDescent="0.35">
      <c r="A68" s="1" t="s">
        <v>10</v>
      </c>
      <c r="B68" s="1" t="s">
        <v>8</v>
      </c>
      <c r="C68" s="1" t="s">
        <v>16</v>
      </c>
      <c r="D68" s="1">
        <v>144</v>
      </c>
    </row>
    <row r="69" spans="1:4" x14ac:dyDescent="0.35">
      <c r="A69" s="1" t="s">
        <v>13</v>
      </c>
      <c r="B69" s="1" t="s">
        <v>11</v>
      </c>
      <c r="C69" s="1" t="s">
        <v>17</v>
      </c>
      <c r="D69" s="1">
        <v>155</v>
      </c>
    </row>
    <row r="70" spans="1:4" x14ac:dyDescent="0.35">
      <c r="A70" s="1" t="s">
        <v>14</v>
      </c>
      <c r="B70" s="1" t="s">
        <v>2</v>
      </c>
      <c r="C70" s="1" t="s">
        <v>18</v>
      </c>
      <c r="D70" s="1">
        <v>166</v>
      </c>
    </row>
    <row r="71" spans="1:4" x14ac:dyDescent="0.35">
      <c r="A71" s="1" t="s">
        <v>15</v>
      </c>
      <c r="B71" s="1" t="s">
        <v>5</v>
      </c>
      <c r="C71" s="1" t="s">
        <v>19</v>
      </c>
      <c r="D71" s="1">
        <v>144</v>
      </c>
    </row>
    <row r="72" spans="1:4" x14ac:dyDescent="0.35">
      <c r="A72" s="1" t="s">
        <v>1</v>
      </c>
      <c r="B72" s="1" t="s">
        <v>8</v>
      </c>
      <c r="C72" s="1" t="s">
        <v>12</v>
      </c>
      <c r="D72" s="1">
        <v>177</v>
      </c>
    </row>
    <row r="73" spans="1:4" x14ac:dyDescent="0.35">
      <c r="A73" s="1" t="s">
        <v>4</v>
      </c>
      <c r="B73" s="1" t="s">
        <v>11</v>
      </c>
      <c r="C73" s="1" t="s">
        <v>20</v>
      </c>
      <c r="D73" s="1">
        <v>199</v>
      </c>
    </row>
    <row r="74" spans="1:4" x14ac:dyDescent="0.35">
      <c r="A74" s="1" t="s">
        <v>7</v>
      </c>
      <c r="B74" s="1" t="s">
        <v>2</v>
      </c>
      <c r="C74" s="1" t="s">
        <v>3</v>
      </c>
      <c r="D74" s="1">
        <v>200</v>
      </c>
    </row>
    <row r="75" spans="1:4" x14ac:dyDescent="0.35">
      <c r="A75" s="1" t="s">
        <v>10</v>
      </c>
      <c r="B75" s="1" t="s">
        <v>5</v>
      </c>
      <c r="C75" s="1" t="s">
        <v>6</v>
      </c>
      <c r="D75" s="1">
        <v>230</v>
      </c>
    </row>
    <row r="76" spans="1:4" x14ac:dyDescent="0.35">
      <c r="A76" s="1" t="s">
        <v>13</v>
      </c>
      <c r="B76" s="1" t="s">
        <v>8</v>
      </c>
      <c r="C76" s="1" t="s">
        <v>9</v>
      </c>
      <c r="D76" s="1">
        <v>430</v>
      </c>
    </row>
    <row r="77" spans="1:4" x14ac:dyDescent="0.35">
      <c r="A77" s="1" t="s">
        <v>14</v>
      </c>
      <c r="B77" s="1" t="s">
        <v>2</v>
      </c>
      <c r="C77" s="1" t="s">
        <v>12</v>
      </c>
      <c r="D77" s="1">
        <v>230</v>
      </c>
    </row>
    <row r="78" spans="1:4" x14ac:dyDescent="0.35">
      <c r="A78" s="1" t="s">
        <v>15</v>
      </c>
      <c r="B78" s="1" t="s">
        <v>5</v>
      </c>
      <c r="C78" s="1" t="s">
        <v>6</v>
      </c>
      <c r="D78" s="1">
        <v>430</v>
      </c>
    </row>
    <row r="79" spans="1:4" x14ac:dyDescent="0.35">
      <c r="A79" s="1" t="s">
        <v>1</v>
      </c>
      <c r="B79" s="1" t="s">
        <v>8</v>
      </c>
      <c r="C79" s="1" t="s">
        <v>9</v>
      </c>
      <c r="D79" s="1">
        <v>199</v>
      </c>
    </row>
    <row r="80" spans="1:4" x14ac:dyDescent="0.35">
      <c r="A80" s="1" t="s">
        <v>4</v>
      </c>
      <c r="B80" s="1" t="s">
        <v>11</v>
      </c>
      <c r="C80" s="1" t="s">
        <v>3</v>
      </c>
      <c r="D80" s="1">
        <v>140</v>
      </c>
    </row>
    <row r="81" spans="1:4" x14ac:dyDescent="0.35">
      <c r="A81" s="1" t="s">
        <v>7</v>
      </c>
      <c r="B81" s="1" t="s">
        <v>2</v>
      </c>
      <c r="C81" s="1" t="s">
        <v>6</v>
      </c>
      <c r="D81" s="1">
        <v>260</v>
      </c>
    </row>
    <row r="82" spans="1:4" x14ac:dyDescent="0.35">
      <c r="A82" s="1" t="s">
        <v>10</v>
      </c>
      <c r="B82" s="1" t="s">
        <v>5</v>
      </c>
      <c r="C82" s="1" t="s">
        <v>9</v>
      </c>
      <c r="D82" s="1">
        <v>300</v>
      </c>
    </row>
    <row r="83" spans="1:4" x14ac:dyDescent="0.35">
      <c r="A83" s="1" t="s">
        <v>13</v>
      </c>
      <c r="B83" s="1" t="s">
        <v>8</v>
      </c>
      <c r="C83" s="1" t="s">
        <v>3</v>
      </c>
      <c r="D83" s="1">
        <v>144</v>
      </c>
    </row>
    <row r="84" spans="1:4" x14ac:dyDescent="0.35">
      <c r="A84" s="1" t="s">
        <v>14</v>
      </c>
      <c r="B84" s="1" t="s">
        <v>11</v>
      </c>
      <c r="C84" s="1" t="s">
        <v>6</v>
      </c>
      <c r="D84" s="1">
        <v>155</v>
      </c>
    </row>
    <row r="85" spans="1:4" x14ac:dyDescent="0.35">
      <c r="A85" s="1" t="s">
        <v>15</v>
      </c>
      <c r="B85" s="1" t="s">
        <v>2</v>
      </c>
      <c r="C85" s="1" t="s">
        <v>9</v>
      </c>
      <c r="D85" s="1">
        <v>166</v>
      </c>
    </row>
    <row r="86" spans="1:4" x14ac:dyDescent="0.35">
      <c r="A86" s="1" t="s">
        <v>1</v>
      </c>
      <c r="B86" s="1" t="s">
        <v>5</v>
      </c>
      <c r="C86" s="1" t="s">
        <v>16</v>
      </c>
      <c r="D86" s="1">
        <v>144</v>
      </c>
    </row>
    <row r="87" spans="1:4" x14ac:dyDescent="0.35">
      <c r="A87" s="1" t="s">
        <v>4</v>
      </c>
      <c r="B87" s="1" t="s">
        <v>8</v>
      </c>
      <c r="C87" s="1" t="s">
        <v>17</v>
      </c>
      <c r="D87" s="1">
        <v>177</v>
      </c>
    </row>
    <row r="88" spans="1:4" x14ac:dyDescent="0.35">
      <c r="A88" s="1" t="s">
        <v>7</v>
      </c>
      <c r="B88" s="1" t="s">
        <v>11</v>
      </c>
      <c r="C88" s="1" t="s">
        <v>18</v>
      </c>
      <c r="D88" s="1">
        <v>199</v>
      </c>
    </row>
    <row r="89" spans="1:4" x14ac:dyDescent="0.35">
      <c r="A89" s="1" t="s">
        <v>10</v>
      </c>
      <c r="B89" s="1" t="s">
        <v>2</v>
      </c>
      <c r="C89" s="1" t="s">
        <v>19</v>
      </c>
      <c r="D89" s="1">
        <v>200</v>
      </c>
    </row>
    <row r="90" spans="1:4" x14ac:dyDescent="0.35">
      <c r="A90" s="1" t="s">
        <v>13</v>
      </c>
      <c r="B90" s="1" t="s">
        <v>5</v>
      </c>
      <c r="C90" s="1" t="s">
        <v>12</v>
      </c>
      <c r="D90" s="1">
        <v>230</v>
      </c>
    </row>
    <row r="91" spans="1:4" x14ac:dyDescent="0.35">
      <c r="A91" s="1" t="s">
        <v>14</v>
      </c>
      <c r="B91" s="1" t="s">
        <v>8</v>
      </c>
      <c r="C91" s="1" t="s">
        <v>20</v>
      </c>
      <c r="D91" s="1">
        <v>430</v>
      </c>
    </row>
    <row r="92" spans="1:4" x14ac:dyDescent="0.35">
      <c r="A92" s="1" t="s">
        <v>15</v>
      </c>
      <c r="B92" s="1" t="s">
        <v>2</v>
      </c>
      <c r="C92" s="1" t="s">
        <v>3</v>
      </c>
      <c r="D92" s="1">
        <v>230</v>
      </c>
    </row>
    <row r="93" spans="1:4" x14ac:dyDescent="0.35">
      <c r="A93" s="1" t="s">
        <v>1</v>
      </c>
      <c r="B93" s="1" t="s">
        <v>5</v>
      </c>
      <c r="C93" s="1" t="s">
        <v>6</v>
      </c>
      <c r="D93" s="1">
        <v>430</v>
      </c>
    </row>
    <row r="94" spans="1:4" x14ac:dyDescent="0.35">
      <c r="A94" s="1" t="s">
        <v>4</v>
      </c>
      <c r="B94" s="1" t="s">
        <v>8</v>
      </c>
      <c r="C94" s="1" t="s">
        <v>9</v>
      </c>
      <c r="D94" s="1">
        <v>199</v>
      </c>
    </row>
    <row r="95" spans="1:4" x14ac:dyDescent="0.35">
      <c r="A95" s="1" t="s">
        <v>7</v>
      </c>
      <c r="B95" s="1" t="s">
        <v>11</v>
      </c>
      <c r="C95" s="1" t="s">
        <v>12</v>
      </c>
      <c r="D95" s="1">
        <v>140</v>
      </c>
    </row>
    <row r="96" spans="1:4" x14ac:dyDescent="0.35">
      <c r="A96" s="1" t="s">
        <v>10</v>
      </c>
      <c r="B96" s="1" t="s">
        <v>2</v>
      </c>
      <c r="C96" s="1" t="s">
        <v>6</v>
      </c>
      <c r="D96" s="1">
        <v>260</v>
      </c>
    </row>
    <row r="97" spans="1:4" x14ac:dyDescent="0.35">
      <c r="A97" s="1" t="s">
        <v>13</v>
      </c>
      <c r="B97" s="1" t="s">
        <v>5</v>
      </c>
      <c r="C97" s="1" t="s">
        <v>9</v>
      </c>
      <c r="D97" s="1">
        <v>300</v>
      </c>
    </row>
    <row r="98" spans="1:4" x14ac:dyDescent="0.35">
      <c r="A98" s="1" t="s">
        <v>14</v>
      </c>
      <c r="B98" s="1" t="s">
        <v>8</v>
      </c>
      <c r="C98" s="1" t="s">
        <v>3</v>
      </c>
      <c r="D98" s="1">
        <v>160</v>
      </c>
    </row>
    <row r="99" spans="1:4" x14ac:dyDescent="0.35">
      <c r="A99" s="1" t="s">
        <v>15</v>
      </c>
      <c r="B99" s="1" t="s">
        <v>11</v>
      </c>
      <c r="C99" s="1" t="s">
        <v>6</v>
      </c>
      <c r="D99" s="1">
        <v>176</v>
      </c>
    </row>
    <row r="100" spans="1:4" x14ac:dyDescent="0.35">
      <c r="A100" s="1" t="s">
        <v>1</v>
      </c>
      <c r="B100" s="1" t="s">
        <v>2</v>
      </c>
      <c r="C100" s="1" t="s">
        <v>9</v>
      </c>
      <c r="D100" s="1">
        <v>156</v>
      </c>
    </row>
    <row r="101" spans="1:4" x14ac:dyDescent="0.35">
      <c r="A101" s="1" t="s">
        <v>4</v>
      </c>
      <c r="B101" s="1" t="s">
        <v>5</v>
      </c>
      <c r="C101" s="1" t="s">
        <v>3</v>
      </c>
      <c r="D101" s="1">
        <v>190</v>
      </c>
    </row>
    <row r="102" spans="1:4" x14ac:dyDescent="0.35">
      <c r="A102" s="1" t="s">
        <v>7</v>
      </c>
      <c r="B102" s="1" t="s">
        <v>8</v>
      </c>
      <c r="C102" s="1" t="s">
        <v>6</v>
      </c>
      <c r="D102" s="1">
        <v>144</v>
      </c>
    </row>
    <row r="103" spans="1:4" x14ac:dyDescent="0.35">
      <c r="A103" s="1" t="s">
        <v>10</v>
      </c>
      <c r="B103" s="1" t="s">
        <v>11</v>
      </c>
      <c r="C103" s="1" t="s">
        <v>9</v>
      </c>
      <c r="D103" s="1">
        <v>155</v>
      </c>
    </row>
    <row r="104" spans="1:4" x14ac:dyDescent="0.35">
      <c r="A104" s="1" t="s">
        <v>13</v>
      </c>
      <c r="B104" s="1" t="s">
        <v>2</v>
      </c>
      <c r="C104" s="1" t="s">
        <v>16</v>
      </c>
      <c r="D104" s="1">
        <v>166</v>
      </c>
    </row>
    <row r="105" spans="1:4" x14ac:dyDescent="0.35">
      <c r="A105" s="1" t="s">
        <v>14</v>
      </c>
      <c r="B105" s="1" t="s">
        <v>5</v>
      </c>
      <c r="C105" s="1" t="s">
        <v>17</v>
      </c>
      <c r="D105" s="1">
        <v>144</v>
      </c>
    </row>
    <row r="106" spans="1:4" x14ac:dyDescent="0.35">
      <c r="A106" s="1" t="s">
        <v>15</v>
      </c>
      <c r="B106" s="1" t="s">
        <v>8</v>
      </c>
      <c r="C106" s="1" t="s">
        <v>18</v>
      </c>
      <c r="D106" s="1">
        <v>177</v>
      </c>
    </row>
    <row r="107" spans="1:4" x14ac:dyDescent="0.35">
      <c r="A107" s="1" t="s">
        <v>1</v>
      </c>
      <c r="B107" s="1" t="s">
        <v>2</v>
      </c>
      <c r="C107" s="1" t="s">
        <v>19</v>
      </c>
      <c r="D107" s="1">
        <v>199</v>
      </c>
    </row>
    <row r="108" spans="1:4" x14ac:dyDescent="0.35">
      <c r="A108" s="1" t="s">
        <v>4</v>
      </c>
      <c r="B108" s="1" t="s">
        <v>5</v>
      </c>
      <c r="C108" s="1" t="s">
        <v>12</v>
      </c>
      <c r="D108" s="1">
        <v>200</v>
      </c>
    </row>
    <row r="109" spans="1:4" x14ac:dyDescent="0.35">
      <c r="A109" s="1" t="s">
        <v>7</v>
      </c>
      <c r="B109" s="1" t="s">
        <v>8</v>
      </c>
      <c r="C109" s="1" t="s">
        <v>20</v>
      </c>
      <c r="D109" s="1">
        <v>230</v>
      </c>
    </row>
    <row r="110" spans="1:4" x14ac:dyDescent="0.35">
      <c r="A110" s="1" t="s">
        <v>10</v>
      </c>
      <c r="B110" s="1" t="s">
        <v>11</v>
      </c>
      <c r="C110" s="1" t="s">
        <v>3</v>
      </c>
      <c r="D110" s="1">
        <v>430</v>
      </c>
    </row>
    <row r="111" spans="1:4" x14ac:dyDescent="0.35">
      <c r="A111" s="1" t="s">
        <v>13</v>
      </c>
      <c r="B111" s="1" t="s">
        <v>2</v>
      </c>
      <c r="C111" s="1" t="s">
        <v>6</v>
      </c>
      <c r="D111" s="1">
        <v>230</v>
      </c>
    </row>
    <row r="112" spans="1:4" x14ac:dyDescent="0.35">
      <c r="A112" s="1" t="s">
        <v>14</v>
      </c>
      <c r="B112" s="1" t="s">
        <v>5</v>
      </c>
      <c r="C112" s="1" t="s">
        <v>9</v>
      </c>
      <c r="D112" s="1">
        <v>430</v>
      </c>
    </row>
    <row r="113" spans="1:4" x14ac:dyDescent="0.35">
      <c r="A113" s="1" t="s">
        <v>15</v>
      </c>
      <c r="B113" s="1" t="s">
        <v>8</v>
      </c>
      <c r="C113" s="1" t="s">
        <v>12</v>
      </c>
      <c r="D113" s="1">
        <v>199</v>
      </c>
    </row>
    <row r="114" spans="1:4" x14ac:dyDescent="0.35">
      <c r="A114" s="1" t="s">
        <v>1</v>
      </c>
      <c r="B114" s="1" t="s">
        <v>11</v>
      </c>
      <c r="C114" s="1" t="s">
        <v>6</v>
      </c>
      <c r="D114" s="1">
        <v>140</v>
      </c>
    </row>
    <row r="115" spans="1:4" x14ac:dyDescent="0.35">
      <c r="A115" s="1" t="s">
        <v>4</v>
      </c>
      <c r="B115" s="1" t="s">
        <v>2</v>
      </c>
      <c r="C115" s="1" t="s">
        <v>9</v>
      </c>
      <c r="D115" s="1">
        <v>260</v>
      </c>
    </row>
    <row r="116" spans="1:4" x14ac:dyDescent="0.35">
      <c r="A116" s="1" t="s">
        <v>7</v>
      </c>
      <c r="B116" s="1" t="s">
        <v>5</v>
      </c>
      <c r="C116" s="1" t="s">
        <v>3</v>
      </c>
      <c r="D116" s="1">
        <v>300</v>
      </c>
    </row>
    <row r="117" spans="1:4" x14ac:dyDescent="0.35">
      <c r="A117" s="1" t="s">
        <v>10</v>
      </c>
      <c r="B117" s="1" t="s">
        <v>8</v>
      </c>
      <c r="C117" s="1" t="s">
        <v>6</v>
      </c>
      <c r="D117" s="1">
        <v>144</v>
      </c>
    </row>
    <row r="118" spans="1:4" x14ac:dyDescent="0.35">
      <c r="A118" s="1" t="s">
        <v>13</v>
      </c>
      <c r="B118" s="1" t="s">
        <v>11</v>
      </c>
      <c r="C118" s="1" t="s">
        <v>9</v>
      </c>
      <c r="D118" s="1">
        <v>155</v>
      </c>
    </row>
    <row r="119" spans="1:4" x14ac:dyDescent="0.35">
      <c r="A119" s="1" t="s">
        <v>14</v>
      </c>
      <c r="B119" s="1" t="s">
        <v>2</v>
      </c>
      <c r="C119" s="1" t="s">
        <v>3</v>
      </c>
      <c r="D119" s="1">
        <v>166</v>
      </c>
    </row>
    <row r="120" spans="1:4" x14ac:dyDescent="0.35">
      <c r="A120" s="1" t="s">
        <v>15</v>
      </c>
      <c r="B120" s="1" t="s">
        <v>5</v>
      </c>
      <c r="C120" s="1" t="s">
        <v>6</v>
      </c>
      <c r="D120" s="1">
        <v>144</v>
      </c>
    </row>
    <row r="121" spans="1:4" x14ac:dyDescent="0.35">
      <c r="A121" s="1" t="s">
        <v>1</v>
      </c>
      <c r="B121" s="1" t="s">
        <v>8</v>
      </c>
      <c r="C121" s="1" t="s">
        <v>9</v>
      </c>
      <c r="D121" s="1">
        <v>177</v>
      </c>
    </row>
    <row r="122" spans="1:4" x14ac:dyDescent="0.35">
      <c r="A122" s="1" t="s">
        <v>4</v>
      </c>
      <c r="B122" s="1" t="s">
        <v>2</v>
      </c>
      <c r="C122" s="1" t="s">
        <v>16</v>
      </c>
      <c r="D122" s="1">
        <v>199</v>
      </c>
    </row>
    <row r="123" spans="1:4" x14ac:dyDescent="0.35">
      <c r="A123" s="1" t="s">
        <v>7</v>
      </c>
      <c r="B123" s="1" t="s">
        <v>5</v>
      </c>
      <c r="C123" s="1" t="s">
        <v>17</v>
      </c>
      <c r="D123" s="1">
        <v>200</v>
      </c>
    </row>
    <row r="124" spans="1:4" x14ac:dyDescent="0.35">
      <c r="A124" s="1" t="s">
        <v>10</v>
      </c>
      <c r="B124" s="1" t="s">
        <v>8</v>
      </c>
      <c r="C124" s="1" t="s">
        <v>18</v>
      </c>
      <c r="D124" s="1">
        <v>230</v>
      </c>
    </row>
    <row r="125" spans="1:4" x14ac:dyDescent="0.35">
      <c r="A125" s="1" t="s">
        <v>13</v>
      </c>
      <c r="B125" s="1" t="s">
        <v>11</v>
      </c>
      <c r="C125" s="1" t="s">
        <v>19</v>
      </c>
      <c r="D125" s="1">
        <v>430</v>
      </c>
    </row>
    <row r="126" spans="1:4" x14ac:dyDescent="0.35">
      <c r="A126" s="1" t="s">
        <v>14</v>
      </c>
      <c r="B126" s="1" t="s">
        <v>2</v>
      </c>
      <c r="C126" s="1" t="s">
        <v>12</v>
      </c>
      <c r="D126" s="1">
        <v>230</v>
      </c>
    </row>
    <row r="127" spans="1:4" x14ac:dyDescent="0.35">
      <c r="A127" s="1" t="s">
        <v>15</v>
      </c>
      <c r="B127" s="1" t="s">
        <v>5</v>
      </c>
      <c r="C127" s="1" t="s">
        <v>20</v>
      </c>
      <c r="D127" s="1">
        <v>430</v>
      </c>
    </row>
    <row r="128" spans="1:4" x14ac:dyDescent="0.35">
      <c r="A128" s="1" t="s">
        <v>1</v>
      </c>
      <c r="B128" s="1" t="s">
        <v>8</v>
      </c>
      <c r="C128" s="1" t="s">
        <v>3</v>
      </c>
      <c r="D128" s="1">
        <v>199</v>
      </c>
    </row>
    <row r="129" spans="1:4" x14ac:dyDescent="0.35">
      <c r="A129" s="1" t="s">
        <v>4</v>
      </c>
      <c r="B129" s="1" t="s">
        <v>11</v>
      </c>
      <c r="C129" s="1" t="s">
        <v>6</v>
      </c>
      <c r="D129" s="1">
        <v>140</v>
      </c>
    </row>
    <row r="130" spans="1:4" x14ac:dyDescent="0.35">
      <c r="A130" s="1" t="s">
        <v>7</v>
      </c>
      <c r="B130" s="1" t="s">
        <v>2</v>
      </c>
      <c r="C130" s="1" t="s">
        <v>9</v>
      </c>
      <c r="D130" s="1">
        <v>260</v>
      </c>
    </row>
    <row r="131" spans="1:4" x14ac:dyDescent="0.35">
      <c r="A131" s="1" t="s">
        <v>10</v>
      </c>
      <c r="B131" s="1" t="s">
        <v>5</v>
      </c>
      <c r="C131" s="1" t="s">
        <v>12</v>
      </c>
      <c r="D131" s="1">
        <v>300</v>
      </c>
    </row>
    <row r="132" spans="1:4" x14ac:dyDescent="0.35">
      <c r="A132" s="1" t="s">
        <v>13</v>
      </c>
      <c r="B132" s="1" t="s">
        <v>8</v>
      </c>
      <c r="C132" s="1" t="s">
        <v>6</v>
      </c>
      <c r="D132" s="1">
        <v>160</v>
      </c>
    </row>
    <row r="133" spans="1:4" x14ac:dyDescent="0.35">
      <c r="A133" s="1" t="s">
        <v>14</v>
      </c>
      <c r="B133" s="1" t="s">
        <v>11</v>
      </c>
      <c r="C133" s="1" t="s">
        <v>9</v>
      </c>
      <c r="D133" s="1">
        <v>176</v>
      </c>
    </row>
    <row r="134" spans="1:4" x14ac:dyDescent="0.35">
      <c r="A134" s="1" t="s">
        <v>15</v>
      </c>
      <c r="B134" s="1" t="s">
        <v>2</v>
      </c>
      <c r="C134" s="1" t="s">
        <v>3</v>
      </c>
      <c r="D134" s="1">
        <v>156</v>
      </c>
    </row>
    <row r="135" spans="1:4" x14ac:dyDescent="0.35">
      <c r="A135" s="1" t="s">
        <v>1</v>
      </c>
      <c r="B135" s="1" t="s">
        <v>5</v>
      </c>
      <c r="C135" s="1" t="s">
        <v>6</v>
      </c>
      <c r="D135" s="1">
        <v>190</v>
      </c>
    </row>
    <row r="136" spans="1:4" x14ac:dyDescent="0.35">
      <c r="A136" s="1" t="s">
        <v>4</v>
      </c>
      <c r="B136" s="1" t="s">
        <v>8</v>
      </c>
      <c r="C136" s="1" t="s">
        <v>9</v>
      </c>
      <c r="D136" s="1">
        <v>144</v>
      </c>
    </row>
    <row r="137" spans="1:4" x14ac:dyDescent="0.35">
      <c r="A137" s="1" t="s">
        <v>7</v>
      </c>
      <c r="B137" s="1" t="s">
        <v>2</v>
      </c>
      <c r="C137" s="1" t="s">
        <v>3</v>
      </c>
      <c r="D137" s="1">
        <v>155</v>
      </c>
    </row>
    <row r="138" spans="1:4" x14ac:dyDescent="0.35">
      <c r="A138" s="1" t="s">
        <v>10</v>
      </c>
      <c r="B138" s="1" t="s">
        <v>5</v>
      </c>
      <c r="C138" s="1" t="s">
        <v>6</v>
      </c>
      <c r="D138" s="1">
        <v>166</v>
      </c>
    </row>
    <row r="139" spans="1:4" x14ac:dyDescent="0.35">
      <c r="A139" s="1" t="s">
        <v>13</v>
      </c>
      <c r="B139" s="1" t="s">
        <v>8</v>
      </c>
      <c r="C139" s="1" t="s">
        <v>9</v>
      </c>
      <c r="D139" s="1">
        <v>144</v>
      </c>
    </row>
    <row r="140" spans="1:4" x14ac:dyDescent="0.35">
      <c r="A140" s="1" t="s">
        <v>14</v>
      </c>
      <c r="B140" s="1" t="s">
        <v>11</v>
      </c>
      <c r="C140" s="1" t="s">
        <v>16</v>
      </c>
      <c r="D140" s="1">
        <v>177</v>
      </c>
    </row>
    <row r="141" spans="1:4" x14ac:dyDescent="0.35">
      <c r="A141" s="1" t="s">
        <v>15</v>
      </c>
      <c r="B141" s="1" t="s">
        <v>2</v>
      </c>
      <c r="C141" s="1" t="s">
        <v>17</v>
      </c>
      <c r="D141" s="1">
        <v>199</v>
      </c>
    </row>
    <row r="142" spans="1:4" x14ac:dyDescent="0.35">
      <c r="A142" s="1" t="s">
        <v>1</v>
      </c>
      <c r="B142" s="1" t="s">
        <v>5</v>
      </c>
      <c r="C142" s="1" t="s">
        <v>18</v>
      </c>
      <c r="D142" s="1">
        <v>200</v>
      </c>
    </row>
    <row r="143" spans="1:4" x14ac:dyDescent="0.35">
      <c r="A143" s="1" t="s">
        <v>4</v>
      </c>
      <c r="B143" s="1" t="s">
        <v>8</v>
      </c>
      <c r="C143" s="1" t="s">
        <v>19</v>
      </c>
      <c r="D143" s="1">
        <v>230</v>
      </c>
    </row>
    <row r="144" spans="1:4" x14ac:dyDescent="0.35">
      <c r="A144" s="1" t="s">
        <v>7</v>
      </c>
      <c r="B144" s="1" t="s">
        <v>11</v>
      </c>
      <c r="C144" s="1" t="s">
        <v>12</v>
      </c>
      <c r="D144" s="1">
        <v>430</v>
      </c>
    </row>
    <row r="145" spans="1:4" x14ac:dyDescent="0.35">
      <c r="A145" s="1" t="s">
        <v>10</v>
      </c>
      <c r="B145" s="1" t="s">
        <v>2</v>
      </c>
      <c r="C145" s="1" t="s">
        <v>20</v>
      </c>
      <c r="D145" s="1">
        <v>230</v>
      </c>
    </row>
    <row r="146" spans="1:4" x14ac:dyDescent="0.35">
      <c r="A146" s="1" t="s">
        <v>13</v>
      </c>
      <c r="B146" s="1" t="s">
        <v>5</v>
      </c>
      <c r="C146" s="1" t="s">
        <v>3</v>
      </c>
      <c r="D146" s="1">
        <v>430</v>
      </c>
    </row>
    <row r="147" spans="1:4" x14ac:dyDescent="0.35">
      <c r="A147" s="1" t="s">
        <v>14</v>
      </c>
      <c r="B147" s="1" t="s">
        <v>8</v>
      </c>
      <c r="C147" s="1" t="s">
        <v>6</v>
      </c>
      <c r="D147" s="1">
        <v>199</v>
      </c>
    </row>
    <row r="148" spans="1:4" x14ac:dyDescent="0.35">
      <c r="A148" s="1" t="s">
        <v>15</v>
      </c>
      <c r="B148" s="1" t="s">
        <v>11</v>
      </c>
      <c r="C148" s="1" t="s">
        <v>9</v>
      </c>
      <c r="D148" s="1">
        <v>140</v>
      </c>
    </row>
    <row r="149" spans="1:4" x14ac:dyDescent="0.35">
      <c r="A149" s="1" t="s">
        <v>1</v>
      </c>
      <c r="B149" s="1" t="s">
        <v>2</v>
      </c>
      <c r="C149" s="1" t="s">
        <v>12</v>
      </c>
      <c r="D149" s="1">
        <v>260</v>
      </c>
    </row>
    <row r="150" spans="1:4" x14ac:dyDescent="0.35">
      <c r="A150" s="1" t="s">
        <v>4</v>
      </c>
      <c r="B150" s="1" t="s">
        <v>5</v>
      </c>
      <c r="C150" s="1" t="s">
        <v>6</v>
      </c>
      <c r="D150" s="1">
        <v>300</v>
      </c>
    </row>
    <row r="151" spans="1:4" x14ac:dyDescent="0.35">
      <c r="A151" s="1" t="s">
        <v>7</v>
      </c>
      <c r="B151" s="1" t="s">
        <v>8</v>
      </c>
      <c r="C151" s="1" t="s">
        <v>9</v>
      </c>
      <c r="D151" s="1">
        <v>144</v>
      </c>
    </row>
    <row r="152" spans="1:4" x14ac:dyDescent="0.35">
      <c r="A152" s="1" t="s">
        <v>10</v>
      </c>
      <c r="B152" s="1" t="s">
        <v>2</v>
      </c>
      <c r="C152" s="1" t="s">
        <v>3</v>
      </c>
      <c r="D152" s="1">
        <v>155</v>
      </c>
    </row>
    <row r="153" spans="1:4" x14ac:dyDescent="0.35">
      <c r="A153" s="1" t="s">
        <v>13</v>
      </c>
      <c r="B153" s="1" t="s">
        <v>5</v>
      </c>
      <c r="C153" s="1" t="s">
        <v>6</v>
      </c>
      <c r="D153" s="1">
        <v>166</v>
      </c>
    </row>
    <row r="154" spans="1:4" x14ac:dyDescent="0.35">
      <c r="A154" s="1" t="s">
        <v>14</v>
      </c>
      <c r="B154" s="1" t="s">
        <v>8</v>
      </c>
      <c r="C154" s="1" t="s">
        <v>9</v>
      </c>
      <c r="D154" s="1">
        <v>144</v>
      </c>
    </row>
    <row r="155" spans="1:4" x14ac:dyDescent="0.35">
      <c r="A155" s="1" t="s">
        <v>15</v>
      </c>
      <c r="B155" s="1" t="s">
        <v>11</v>
      </c>
      <c r="C155" s="1" t="s">
        <v>3</v>
      </c>
      <c r="D155" s="1">
        <v>177</v>
      </c>
    </row>
    <row r="156" spans="1:4" x14ac:dyDescent="0.35">
      <c r="A156" s="1" t="s">
        <v>1</v>
      </c>
      <c r="B156" s="1" t="s">
        <v>2</v>
      </c>
      <c r="C156" s="1" t="s">
        <v>6</v>
      </c>
      <c r="D156" s="1">
        <v>199</v>
      </c>
    </row>
    <row r="157" spans="1:4" x14ac:dyDescent="0.35">
      <c r="A157" s="1" t="s">
        <v>4</v>
      </c>
      <c r="B157" s="1" t="s">
        <v>5</v>
      </c>
      <c r="C157" s="1" t="s">
        <v>9</v>
      </c>
      <c r="D157" s="1">
        <v>200</v>
      </c>
    </row>
    <row r="158" spans="1:4" x14ac:dyDescent="0.35">
      <c r="A158" s="1" t="s">
        <v>7</v>
      </c>
      <c r="B158" s="1" t="s">
        <v>8</v>
      </c>
      <c r="C158" s="1" t="s">
        <v>16</v>
      </c>
      <c r="D158" s="1">
        <v>230</v>
      </c>
    </row>
    <row r="159" spans="1:4" x14ac:dyDescent="0.35">
      <c r="A159" s="1" t="s">
        <v>10</v>
      </c>
      <c r="B159" s="1" t="s">
        <v>11</v>
      </c>
      <c r="C159" s="1" t="s">
        <v>17</v>
      </c>
      <c r="D159" s="1">
        <v>430</v>
      </c>
    </row>
    <row r="160" spans="1:4" x14ac:dyDescent="0.35">
      <c r="A160" s="1" t="s">
        <v>13</v>
      </c>
      <c r="B160" s="1" t="s">
        <v>2</v>
      </c>
      <c r="C160" s="1" t="s">
        <v>18</v>
      </c>
      <c r="D160" s="1">
        <v>230</v>
      </c>
    </row>
    <row r="161" spans="1:4" x14ac:dyDescent="0.35">
      <c r="A161" s="1" t="s">
        <v>14</v>
      </c>
      <c r="B161" s="1" t="s">
        <v>5</v>
      </c>
      <c r="C161" s="1" t="s">
        <v>19</v>
      </c>
      <c r="D161" s="1">
        <v>430</v>
      </c>
    </row>
    <row r="162" spans="1:4" x14ac:dyDescent="0.35">
      <c r="A162" s="1" t="s">
        <v>15</v>
      </c>
      <c r="B162" s="1" t="s">
        <v>8</v>
      </c>
      <c r="C162" s="1" t="s">
        <v>12</v>
      </c>
      <c r="D162" s="1">
        <v>199</v>
      </c>
    </row>
    <row r="163" spans="1:4" x14ac:dyDescent="0.35">
      <c r="A163" s="1" t="s">
        <v>1</v>
      </c>
      <c r="B163" s="1" t="s">
        <v>11</v>
      </c>
      <c r="C163" s="1" t="s">
        <v>20</v>
      </c>
      <c r="D163" s="1">
        <v>140</v>
      </c>
    </row>
    <row r="164" spans="1:4" x14ac:dyDescent="0.35">
      <c r="A164" s="1" t="s">
        <v>4</v>
      </c>
      <c r="B164" s="1" t="s">
        <v>2</v>
      </c>
      <c r="C164" s="1" t="s">
        <v>3</v>
      </c>
      <c r="D164" s="1">
        <v>260</v>
      </c>
    </row>
    <row r="165" spans="1:4" x14ac:dyDescent="0.35">
      <c r="A165" s="1" t="s">
        <v>7</v>
      </c>
      <c r="B165" s="1" t="s">
        <v>5</v>
      </c>
      <c r="C165" s="1" t="s">
        <v>6</v>
      </c>
      <c r="D165" s="1">
        <v>300</v>
      </c>
    </row>
    <row r="166" spans="1:4" x14ac:dyDescent="0.35">
      <c r="A166" s="1" t="s">
        <v>10</v>
      </c>
      <c r="B166" s="1" t="s">
        <v>8</v>
      </c>
      <c r="C166" s="1" t="s">
        <v>9</v>
      </c>
      <c r="D166" s="1">
        <v>160</v>
      </c>
    </row>
    <row r="167" spans="1:4" x14ac:dyDescent="0.35">
      <c r="A167" s="1" t="s">
        <v>13</v>
      </c>
      <c r="B167" s="1" t="s">
        <v>2</v>
      </c>
      <c r="C167" s="1" t="s">
        <v>12</v>
      </c>
      <c r="D167" s="1">
        <v>176</v>
      </c>
    </row>
    <row r="168" spans="1:4" x14ac:dyDescent="0.35">
      <c r="A168" s="1" t="s">
        <v>14</v>
      </c>
      <c r="B168" s="1" t="s">
        <v>5</v>
      </c>
      <c r="C168" s="1" t="s">
        <v>6</v>
      </c>
      <c r="D168" s="1">
        <v>156</v>
      </c>
    </row>
    <row r="169" spans="1:4" x14ac:dyDescent="0.35">
      <c r="A169" s="1" t="s">
        <v>15</v>
      </c>
      <c r="B169" s="1" t="s">
        <v>8</v>
      </c>
      <c r="C169" s="1" t="s">
        <v>9</v>
      </c>
      <c r="D169" s="1">
        <v>190</v>
      </c>
    </row>
    <row r="170" spans="1:4" x14ac:dyDescent="0.35">
      <c r="A170" s="1" t="s">
        <v>1</v>
      </c>
      <c r="B170" s="1" t="s">
        <v>11</v>
      </c>
      <c r="C170" s="1" t="s">
        <v>3</v>
      </c>
      <c r="D170" s="1">
        <v>144</v>
      </c>
    </row>
    <row r="171" spans="1:4" x14ac:dyDescent="0.35">
      <c r="A171" s="1" t="s">
        <v>4</v>
      </c>
      <c r="B171" s="1" t="s">
        <v>2</v>
      </c>
      <c r="C171" s="1" t="s">
        <v>21</v>
      </c>
      <c r="D171" s="1">
        <v>1000</v>
      </c>
    </row>
    <row r="172" spans="1:4" x14ac:dyDescent="0.35">
      <c r="A172" s="1" t="s">
        <v>7</v>
      </c>
      <c r="B172" s="1" t="s">
        <v>5</v>
      </c>
      <c r="C172" s="1" t="s">
        <v>21</v>
      </c>
      <c r="D172" s="1">
        <v>156</v>
      </c>
    </row>
    <row r="173" spans="1:4" x14ac:dyDescent="0.35">
      <c r="A173" s="1" t="s">
        <v>10</v>
      </c>
      <c r="B173" s="1" t="s">
        <v>8</v>
      </c>
      <c r="C173" s="1" t="s">
        <v>21</v>
      </c>
      <c r="D173" s="1">
        <v>190</v>
      </c>
    </row>
    <row r="174" spans="1:4" x14ac:dyDescent="0.35">
      <c r="A174" s="1" t="s">
        <v>1</v>
      </c>
      <c r="B174" s="1" t="s">
        <v>11</v>
      </c>
      <c r="C174" s="1" t="s">
        <v>21</v>
      </c>
      <c r="D174" s="1">
        <v>144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57862-DA28-4611-BE39-C37F7FB3FD24}">
  <dimension ref="A3:E8"/>
  <sheetViews>
    <sheetView zoomScaleNormal="85" workbookViewId="0">
      <selection activeCell="A4" sqref="A4"/>
    </sheetView>
  </sheetViews>
  <sheetFormatPr defaultRowHeight="14.5" x14ac:dyDescent="0.35"/>
  <cols>
    <col min="1" max="1" width="12.36328125" bestFit="1" customWidth="1"/>
    <col min="2" max="2" width="11.26953125" bestFit="1" customWidth="1"/>
  </cols>
  <sheetData>
    <row r="3" spans="1:5" x14ac:dyDescent="0.35">
      <c r="A3" s="3" t="s">
        <v>25</v>
      </c>
      <c r="B3" t="s">
        <v>27</v>
      </c>
    </row>
    <row r="4" spans="1:5" x14ac:dyDescent="0.35">
      <c r="A4" s="4" t="s">
        <v>2</v>
      </c>
      <c r="B4" s="5">
        <v>0.3762120232708468</v>
      </c>
      <c r="C4" s="5">
        <f>B4</f>
        <v>0.3762120232708468</v>
      </c>
      <c r="D4" s="5">
        <f>1-C4</f>
        <v>0.6237879767291532</v>
      </c>
      <c r="E4" s="6">
        <v>1</v>
      </c>
    </row>
    <row r="5" spans="1:5" x14ac:dyDescent="0.35">
      <c r="A5" s="4" t="s">
        <v>8</v>
      </c>
      <c r="B5" s="5">
        <v>0.17921784098254687</v>
      </c>
      <c r="C5" s="5">
        <f t="shared" ref="C5:C8" si="0">B5</f>
        <v>0.17921784098254687</v>
      </c>
      <c r="D5" s="5">
        <f t="shared" ref="D5:D8" si="1">1-C5</f>
        <v>0.82078215901745311</v>
      </c>
      <c r="E5" s="6">
        <v>1</v>
      </c>
    </row>
    <row r="6" spans="1:5" x14ac:dyDescent="0.35">
      <c r="A6" s="4" t="s">
        <v>11</v>
      </c>
      <c r="B6" s="5">
        <v>0.20959922430510666</v>
      </c>
      <c r="C6" s="5">
        <f t="shared" si="0"/>
        <v>0.20959922430510666</v>
      </c>
      <c r="D6" s="5">
        <f t="shared" si="1"/>
        <v>0.79040077569489331</v>
      </c>
      <c r="E6" s="6">
        <v>1</v>
      </c>
    </row>
    <row r="7" spans="1:5" x14ac:dyDescent="0.35">
      <c r="A7" s="4" t="s">
        <v>5</v>
      </c>
      <c r="B7" s="5">
        <v>0.23497091144149967</v>
      </c>
      <c r="C7" s="5">
        <f t="shared" si="0"/>
        <v>0.23497091144149967</v>
      </c>
      <c r="D7" s="5">
        <f t="shared" si="1"/>
        <v>0.76502908855850027</v>
      </c>
      <c r="E7" s="6">
        <v>1</v>
      </c>
    </row>
    <row r="8" spans="1:5" x14ac:dyDescent="0.35">
      <c r="C8" s="5"/>
      <c r="D8"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70F28-B462-4B38-94D4-2B0C3A78E2EB}">
  <dimension ref="A3:B11"/>
  <sheetViews>
    <sheetView workbookViewId="0">
      <selection activeCell="A3" sqref="A3:B11"/>
    </sheetView>
  </sheetViews>
  <sheetFormatPr defaultRowHeight="14.5" x14ac:dyDescent="0.35"/>
  <cols>
    <col min="1" max="1" width="14.26953125" bestFit="1" customWidth="1"/>
    <col min="2" max="2" width="11.26953125" bestFit="1" customWidth="1"/>
  </cols>
  <sheetData>
    <row r="3" spans="1:2" x14ac:dyDescent="0.35">
      <c r="A3" s="3" t="s">
        <v>25</v>
      </c>
      <c r="B3" t="s">
        <v>27</v>
      </c>
    </row>
    <row r="4" spans="1:2" x14ac:dyDescent="0.35">
      <c r="A4" s="4" t="s">
        <v>10</v>
      </c>
      <c r="B4" s="5">
        <v>0.14560439560439561</v>
      </c>
    </row>
    <row r="5" spans="1:2" x14ac:dyDescent="0.35">
      <c r="A5" s="4" t="s">
        <v>1</v>
      </c>
      <c r="B5" s="5">
        <v>0.14851325145442792</v>
      </c>
    </row>
    <row r="6" spans="1:2" x14ac:dyDescent="0.35">
      <c r="A6" s="4" t="s">
        <v>14</v>
      </c>
      <c r="B6" s="5">
        <v>8.9851325145442792E-2</v>
      </c>
    </row>
    <row r="7" spans="1:2" x14ac:dyDescent="0.35">
      <c r="A7" s="4" t="s">
        <v>13</v>
      </c>
      <c r="B7" s="5">
        <v>0.17194570135746606</v>
      </c>
    </row>
    <row r="8" spans="1:2" x14ac:dyDescent="0.35">
      <c r="A8" s="4" t="s">
        <v>4</v>
      </c>
      <c r="B8" s="5">
        <v>0.16483516483516483</v>
      </c>
    </row>
    <row r="9" spans="1:2" x14ac:dyDescent="0.35">
      <c r="A9" s="4" t="s">
        <v>7</v>
      </c>
      <c r="B9" s="5">
        <v>0.12912087912087913</v>
      </c>
    </row>
    <row r="10" spans="1:2" x14ac:dyDescent="0.35">
      <c r="A10" s="4" t="s">
        <v>15</v>
      </c>
      <c r="B10" s="5">
        <v>0.15012928248222365</v>
      </c>
    </row>
    <row r="11" spans="1:2" x14ac:dyDescent="0.35">
      <c r="A11" s="4" t="s">
        <v>26</v>
      </c>
      <c r="B11" s="5">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BE4C0-FE3D-4A26-BE77-84F5DEA328E7}">
  <dimension ref="A1"/>
  <sheetViews>
    <sheetView tabSelected="1" zoomScale="91" zoomScaleNormal="80" workbookViewId="0">
      <selection activeCell="V20" sqref="V20"/>
    </sheetView>
  </sheetViews>
  <sheetFormatPr defaultRowHeight="14.5" x14ac:dyDescent="0.35"/>
  <cols>
    <col min="1"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PIVOT_DATA_1</vt:lpstr>
      <vt:lpstr>PIVOT_DATA_2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moreshwar wadkar</cp:lastModifiedBy>
  <dcterms:created xsi:type="dcterms:W3CDTF">2026-04-06T09:51:44Z</dcterms:created>
  <dcterms:modified xsi:type="dcterms:W3CDTF">2026-04-06T11:51:26Z</dcterms:modified>
</cp:coreProperties>
</file>